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SKRIPSIW\HUMAN EVAL\"/>
    </mc:Choice>
  </mc:AlternateContent>
  <xr:revisionPtr revIDLastSave="0" documentId="13_ncr:1_{540635C9-B1A8-4186-BF28-11DDEC70F634}" xr6:coauthVersionLast="47" xr6:coauthVersionMax="47" xr10:uidLastSave="{00000000-0000-0000-0000-000000000000}"/>
  <bookViews>
    <workbookView xWindow="11424" yWindow="0" windowWidth="11712" windowHeight="13056" tabRatio="827" firstSheet="3" activeTab="4" xr2:uid="{00000000-000D-0000-FFFF-FFFF00000000}"/>
  </bookViews>
  <sheets>
    <sheet name="Instruksi" sheetId="1" r:id="rId1"/>
    <sheet name="Evaluator_1_Riva" sheetId="2" r:id="rId2"/>
    <sheet name="Evaluator_2_Fatimah" sheetId="5" r:id="rId3"/>
    <sheet name="Evaluator_3_Diyan" sheetId="6" r:id="rId4"/>
    <sheet name="MODEL" sheetId="8" r:id="rId5"/>
    <sheet name="WIN RATE" sheetId="9" r:id="rId6"/>
    <sheet name="WIN RATE 2" sheetId="11" r:id="rId7"/>
  </sheets>
  <definedNames>
    <definedName name="_xlnm._FilterDatabase" localSheetId="1" hidden="1">Evaluator_1_Riva!$B$1:$B$61</definedName>
    <definedName name="_xlnm._FilterDatabase" localSheetId="2" hidden="1">Evaluator_2_Fatimah!$B$1:$B$61</definedName>
    <definedName name="_xlnm._FilterDatabase" localSheetId="3" hidden="1">Evaluator_3_Diyan!$B$1:$B$61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9" i="9" l="1"/>
  <c r="Z5" i="9"/>
  <c r="AC39" i="9" l="1"/>
  <c r="AC22" i="9"/>
  <c r="AA22" i="9"/>
  <c r="Z22" i="9"/>
  <c r="AC41" i="9"/>
  <c r="AB41" i="9"/>
  <c r="AA41" i="9"/>
  <c r="Z41" i="9"/>
  <c r="AC40" i="9"/>
  <c r="AB40" i="9"/>
  <c r="AA40" i="9"/>
  <c r="Z40" i="9"/>
  <c r="AB39" i="9"/>
  <c r="AA39" i="9"/>
  <c r="AC24" i="9"/>
  <c r="AB24" i="9"/>
  <c r="AA24" i="9"/>
  <c r="Z24" i="9"/>
  <c r="AC23" i="9"/>
  <c r="AB23" i="9"/>
  <c r="AA23" i="9"/>
  <c r="Z23" i="9"/>
  <c r="AB22" i="9"/>
  <c r="AC7" i="9"/>
  <c r="AB7" i="9"/>
  <c r="AA7" i="9"/>
  <c r="Z7" i="9"/>
  <c r="AA6" i="9"/>
  <c r="Z6" i="9"/>
  <c r="AC6" i="9"/>
  <c r="AB6" i="9"/>
  <c r="AC5" i="9"/>
  <c r="AB5" i="9"/>
  <c r="AA5" i="9"/>
  <c r="G2" i="11"/>
  <c r="F13" i="11"/>
  <c r="I13" i="11" s="1"/>
  <c r="F12" i="11"/>
  <c r="I12" i="11" s="1"/>
  <c r="F11" i="11"/>
  <c r="I11" i="11" s="1"/>
  <c r="F10" i="11"/>
  <c r="I10" i="11" s="1"/>
  <c r="F9" i="11"/>
  <c r="I9" i="11" s="1"/>
  <c r="F8" i="11"/>
  <c r="I8" i="11" s="1"/>
  <c r="F7" i="11"/>
  <c r="I7" i="11" s="1"/>
  <c r="F6" i="11"/>
  <c r="I6" i="11" s="1"/>
  <c r="F5" i="11"/>
  <c r="I5" i="11" s="1"/>
  <c r="F4" i="11"/>
  <c r="I4" i="11" s="1"/>
  <c r="F3" i="11"/>
  <c r="I3" i="11" s="1"/>
  <c r="F2" i="11"/>
  <c r="I2" i="11" s="1"/>
  <c r="U5" i="8"/>
  <c r="X5" i="8" s="1"/>
  <c r="W7" i="8"/>
  <c r="W6" i="8"/>
  <c r="W5" i="8"/>
  <c r="V7" i="8"/>
  <c r="V6" i="8"/>
  <c r="V5" i="8"/>
  <c r="U7" i="8"/>
  <c r="U6" i="8"/>
  <c r="X6" i="8" s="1"/>
  <c r="I7" i="6"/>
  <c r="I6" i="6"/>
  <c r="I5" i="6"/>
  <c r="I7" i="5"/>
  <c r="I6" i="5"/>
  <c r="I5" i="5"/>
  <c r="I8" i="5" s="1"/>
  <c r="X7" i="8" l="1"/>
  <c r="AC42" i="9"/>
  <c r="AB42" i="9"/>
  <c r="AA42" i="9"/>
  <c r="AC25" i="9"/>
  <c r="AB25" i="9"/>
  <c r="Z42" i="9"/>
  <c r="AA25" i="9"/>
  <c r="Z25" i="9"/>
  <c r="AA8" i="9"/>
  <c r="AB8" i="9"/>
  <c r="AC8" i="9"/>
  <c r="G5" i="11"/>
  <c r="G8" i="11"/>
  <c r="G11" i="11"/>
  <c r="H2" i="11"/>
  <c r="H5" i="11"/>
  <c r="H8" i="11"/>
  <c r="H11" i="11"/>
  <c r="G3" i="11"/>
  <c r="G6" i="11"/>
  <c r="G9" i="11"/>
  <c r="G12" i="11"/>
  <c r="H3" i="11"/>
  <c r="H6" i="11"/>
  <c r="H9" i="11"/>
  <c r="H12" i="11"/>
  <c r="G4" i="11"/>
  <c r="G7" i="11"/>
  <c r="G10" i="11"/>
  <c r="G13" i="11"/>
  <c r="H4" i="11"/>
  <c r="H7" i="11"/>
  <c r="H10" i="11"/>
  <c r="H13" i="11"/>
  <c r="Z8" i="9"/>
  <c r="V8" i="8"/>
  <c r="W8" i="8"/>
  <c r="I8" i="6"/>
  <c r="I7" i="2"/>
  <c r="I6" i="2"/>
  <c r="I5" i="2"/>
  <c r="I8" i="2" s="1"/>
  <c r="U8" i="8"/>
  <c r="X8" i="8" l="1"/>
  <c r="X9" i="8" s="1"/>
  <c r="W9" i="8"/>
  <c r="AC28" i="9"/>
  <c r="AA26" i="9"/>
  <c r="Z26" i="9"/>
  <c r="Z9" i="9"/>
  <c r="AA45" i="9"/>
  <c r="AC44" i="9"/>
  <c r="AA44" i="9"/>
  <c r="AC26" i="9"/>
  <c r="Z43" i="9"/>
  <c r="AB44" i="9"/>
  <c r="AC10" i="9"/>
  <c r="Z27" i="9"/>
  <c r="AC9" i="9"/>
  <c r="Z45" i="9"/>
  <c r="AC27" i="9"/>
  <c r="AB27" i="9"/>
  <c r="AB45" i="9"/>
  <c r="AC45" i="9"/>
  <c r="AA27" i="9"/>
  <c r="Z28" i="9"/>
  <c r="AB28" i="9"/>
  <c r="AC43" i="9"/>
  <c r="Z44" i="9"/>
  <c r="AA10" i="9"/>
  <c r="AB11" i="9"/>
  <c r="AA11" i="9"/>
  <c r="AB10" i="9"/>
  <c r="Z10" i="9"/>
  <c r="AB9" i="9"/>
  <c r="AA9" i="9"/>
  <c r="AB26" i="9"/>
  <c r="Z11" i="9"/>
  <c r="AA43" i="9"/>
  <c r="AB43" i="9"/>
  <c r="AC11" i="9"/>
  <c r="AA28" i="9"/>
  <c r="U10" i="8"/>
  <c r="U9" i="8"/>
  <c r="V10" i="8"/>
  <c r="V9" i="8"/>
  <c r="W10" i="8"/>
  <c r="V11" i="8"/>
  <c r="W11" i="8"/>
  <c r="U11" i="8"/>
  <c r="X10" i="8" l="1"/>
  <c r="X11" i="8"/>
</calcChain>
</file>

<file path=xl/sharedStrings.xml><?xml version="1.0" encoding="utf-8"?>
<sst xmlns="http://schemas.openxmlformats.org/spreadsheetml/2006/main" count="2362" uniqueCount="99">
  <si>
    <t>INSTRUKSI HUMAN EVALUATION</t>
  </si>
  <si>
    <t>TUJUAN</t>
  </si>
  <si>
    <t>Menilai kualitas jawaban sistem RAG dibandingkan jawaban referensi (gold answer).</t>
  </si>
  <si>
    <t>CARA KERJA</t>
  </si>
  <si>
    <t>Kamu akan melihat 60 pasang jawaban (Answer A vs Answer B).</t>
  </si>
  <si>
    <t>Salah satu adalah gold answer, satunya adalah jawaban model RAG.</t>
  </si>
  <si>
    <t>Kamu TIDAK perlu tahu mana yang gold — nilai saja berdasarkan kualitas.</t>
  </si>
  <si>
    <t>KRITERIA PENILAIAN</t>
  </si>
  <si>
    <t>Pilih A  → jika Answer A lebih akurat dan natural</t>
  </si>
  <si>
    <t>Pilih B  → jika Answer B lebih akurat dan natural</t>
  </si>
  <si>
    <t>Pilih Tie → jika keduanya sama baiknya (atau sama buruknya)</t>
  </si>
  <si>
    <t>CATATAN PENTING</t>
  </si>
  <si>
    <t>Beberapa jawaban mungkin terlihat aneh, terlalu panjang, atau dalam bahasa lain.</t>
  </si>
  <si>
    <t>Itu wajar — nilai apa adanya sesuai kualitasnya.</t>
  </si>
  <si>
    <t>Tidak ada jawaban benar/salah dalam penilaianmu.</t>
  </si>
  <si>
    <t>Isi kolom "Pilihan (A / B / Tie)" untuk setiap baris.</t>
  </si>
  <si>
    <t>No</t>
  </si>
  <si>
    <t>Question</t>
  </si>
  <si>
    <t>Answer A</t>
  </si>
  <si>
    <t>Answer B</t>
  </si>
  <si>
    <t>Pilihan (A / B / Tie)</t>
  </si>
  <si>
    <t>In what country is Normandy located?</t>
  </si>
  <si>
    <t>Normandy is located in France.</t>
  </si>
  <si>
    <t>France</t>
  </si>
  <si>
    <t>A</t>
  </si>
  <si>
    <t>When were the Normans in Normandy?</t>
  </si>
  <si>
    <t>10th and 11th centuries</t>
  </si>
  <si>
    <t>From which countries did the Norse originate?</t>
  </si>
  <si>
    <t>Denmark, Iceland and Norway</t>
  </si>
  <si>
    <t>B</t>
  </si>
  <si>
    <t>Who was the Norse leader?</t>
  </si>
  <si>
    <t>Rollo</t>
  </si>
  <si>
    <t>What century did the Normans first gain their separate identity?</t>
  </si>
  <si>
    <t>10th century</t>
  </si>
  <si>
    <t>Tie</t>
  </si>
  <si>
    <t>The Norse leader was Rollo.</t>
  </si>
  <si>
    <t>The Normans were in Normandy during the 10th and 11th centuries.</t>
  </si>
  <si>
    <t>The Norse originated from Denmark, Iceland, and Norway.</t>
  </si>
  <si>
    <t>The Normans first gained their separate identity in the first half of the 10th century.</t>
  </si>
  <si>
    <t>Hasil Evaluasi Jawaban</t>
  </si>
  <si>
    <t>Pilihan</t>
  </si>
  <si>
    <t>Jumlah</t>
  </si>
  <si>
    <t>Total</t>
  </si>
  <si>
    <t>180 Penilaian (3 Evaluator × 5 Pertanyaan × 12 Kombinasi)</t>
  </si>
  <si>
    <t>SLM</t>
  </si>
  <si>
    <t>MLM</t>
  </si>
  <si>
    <t>LLM</t>
  </si>
  <si>
    <t>K</t>
  </si>
  <si>
    <t>MODEL</t>
  </si>
  <si>
    <t>A (model)</t>
  </si>
  <si>
    <t>B (GT)</t>
  </si>
  <si>
    <t>WR Model (%)</t>
  </si>
  <si>
    <t>WR GT (%)</t>
  </si>
  <si>
    <t>WR Tie (%)</t>
  </si>
  <si>
    <t>Konfigurasi</t>
  </si>
  <si>
    <t>Model x Konfigurasi</t>
  </si>
  <si>
    <t>RAG+Prompt+SV</t>
  </si>
  <si>
    <t>RAG+SV</t>
  </si>
  <si>
    <t>RAG+Prompt</t>
  </si>
  <si>
    <t>RAG</t>
  </si>
  <si>
    <t>Vote Tie</t>
  </si>
  <si>
    <t>Vote GT (B)</t>
  </si>
  <si>
    <t>Vote Model (A)</t>
  </si>
  <si>
    <t>Model</t>
  </si>
  <si>
    <t>SLM (Qwen2.5-0.5B)</t>
  </si>
  <si>
    <t>MLM (Gemma-2-2B)</t>
  </si>
  <si>
    <t>LLM (Mistral-7B)</t>
  </si>
  <si>
    <t>Catatan: WR_Model + WR_GT + WR_Tie = 100% per baris. Total = 15 vote (3 evaluator × 5 pertanyaan).</t>
  </si>
  <si>
    <t>The answer is: **France**.</t>
  </si>
  <si>
    <t>The Norse originated from countries such as Denmark, Iceland, and Norway.</t>
  </si>
  <si>
    <t>The answer is: **Rollo**.</t>
  </si>
  <si>
    <t>Evidence: [The context mentions that Normandy is a region in France.]</t>
  </si>
  <si>
    <t>The Normans were in Normandy during the 10th and 11th centuries. Evidence: [CONTEXT 1]</t>
  </si>
  <si>
    <t>Evidence: [none]</t>
  </si>
  <si>
    <t>The CONTEXT does not contain the information needed to answer the question. Evidence: [none]</t>
  </si>
  <si>
    <t>The Normans first gained their separate identity in the first half of the 10th century. Evidence: [CONTEXT 1]</t>
  </si>
  <si>
    <t>CONTEXT 1</t>
  </si>
  <si>
    <t>none</t>
  </si>
  <si>
    <t>Evidence: CONTEXT 1</t>
  </si>
  <si>
    <t>The question cannot be answered from the provided context. The context does not mention any specific countries where the Norse originated.</t>
  </si>
  <si>
    <t>Evidence: [CONTEXT 1]</t>
  </si>
  <si>
    <t>The Normans were in Normandy from the 10th century onwards. They originated from Norse raiders and pirates who settled in the region of Normandy in France, eventually becoming the dominant people there. Their presence and influence in Normandy began in the early 10th century, and they established a distinct cultural and ethnic identity that evolved over the following centuries.</t>
  </si>
  <si>
    <t>The Norse leader mentioned in the context is **Sweyn Forkbeard**. He is noted for forcing King Ethelred II of England to flee to Normandy in 1013.</t>
  </si>
  <si>
    <t>The Normans first gained their separate identity in the **10th century**.</t>
  </si>
  <si>
    <t>None</t>
  </si>
  <si>
    <t>The Normans were in Normandy from the 10th century onwards, when they gave their name to the region.</t>
  </si>
  <si>
    <t>The Norse leader mentioned in the context is Sweyn Forkbeard.</t>
  </si>
  <si>
    <t>The 10th century.</t>
  </si>
  <si>
    <t>I cannot determine the country in which Normandy is located based on the provided context. The context discusses historical events related to the Seven Years' War, territorial cessions, and military strategies, but it does not mention Normandy or its location. However, I can offer further assistance in identifying the country where Normandy is located, as it is a well-known region in Europe.</t>
  </si>
  <si>
    <t>The Normans were in Normandy from the 10th century onwards, when they settled there and established the region as their homeland.</t>
  </si>
  <si>
    <t>Sweyn Forkbeard was the Norse leader.</t>
  </si>
  <si>
    <t>The Normans first gained their separate identity in the 10th century.</t>
  </si>
  <si>
    <t>I cannot determine the country in which Normandy is located based on the provided context. The context discusses historical events related to the Seven Years' War, territorial cessions, and military strategies, but it does not mention Normandy or its location.</t>
  </si>
  <si>
    <t>The Normans were in Normandy from the 10th century onward. They arrived in the region under the leadership of Rollo, who agreed to swear fealty to King Charles III of West Francia. Over time, through assimilation and integration with the local Frankish and Roman-Gaulish populations, the Normans developed a distinct cultural and ethnic identity in Normandy. By the 11th century, the Duchy of Normandy had been established as a significant fief of medieval France, and it became a powerful principality under leaders such as Richard I of Normandy. Thus, the Normans were firmly established in Normandy from the early 10th century through the 11th century and beyond.</t>
  </si>
  <si>
    <t>The Normans first gained their separate identity in the **10th century**. 
This is indicated in the context, which states that the distinct cultural and ethnic identity of the Normans emerged **initially in the first half of the 10th century**.</t>
  </si>
  <si>
    <t>The Normans were in Normandy in the 10th and 11th centuries.</t>
  </si>
  <si>
    <t>France.</t>
  </si>
  <si>
    <t>The Normans were in Normandy from the 10th century, beginning with Rollo's settlement in 911, and they established the Duchy of Normandy through treaties with the French crown.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</si>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</sst>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4"/>
      <name val="Calibri"/>
      <family val="2"/>
    </font>
    <font>
      <sz val="14"/>
      <color theme="1"/>
      <name val="Calibri"/>
      <family val="2"/>
      <scheme val="minor"/>
    </font>
    <font>
      <b/>
      <sz val="14"/>
      <color theme="1"/>
      <name val="Calibri"/>
      <family val="2"/>
      <scheme val="minor"/>
    </font>
    <font>
      <b/>
      <sz val="20"/>
      <color rgb="FFFFFFFF"/>
      <name val="Calibri"/>
      <family val="2"/>
    </font>
    <font>
      <sz val="20"/>
      <color theme="1"/>
      <name val="Calibri"/>
      <family val="2"/>
      <scheme val="minor"/>
    </font>
    <font>
      <b/>
      <sz val="20"/>
      <color rgb="FFFFFFFF"/>
      <name val="Arial"/>
      <family val="2"/>
    </font>
    <font>
      <sz val="20"/>
      <name val="Arial"/>
      <family val="2"/>
    </font>
    <font>
      <b/>
      <sz val="20"/>
      <name val="Arial"/>
      <family val="2"/>
    </font>
    <font>
      <b/>
      <sz val="20"/>
      <color rgb="FFFFFFFF"/>
      <name val="Calibri"/>
      <family val="2"/>
      <scheme val="minor"/>
    </font>
    <font>
      <b/>
      <sz val="28"/>
      <color theme="1"/>
      <name val="Calibri"/>
      <family val="2"/>
      <scheme val="minor"/>
    </font>
    <font>
      <b/>
      <sz val="20"/>
      <name val="Calibri"/>
      <family val="2"/>
    </font>
    <font>
      <b/>
      <sz val="24"/>
      <name val="Arial"/>
      <family val="2"/>
    </font>
    <font>
      <b/>
      <sz val="24"/>
      <color theme="1"/>
      <name val="Arial"/>
      <family val="2"/>
    </font>
    <font>
      <b/>
      <sz val="36"/>
      <color theme="1"/>
      <name val="Calibri"/>
      <family val="2"/>
      <scheme val="minor"/>
    </font>
    <font>
      <b/>
      <sz val="20"/>
      <color theme="1"/>
      <name val="Arial"/>
      <family val="2"/>
    </font>
    <font>
      <sz val="10"/>
      <name val="Arial"/>
      <family val="2"/>
    </font>
    <font>
      <b/>
      <sz val="11"/>
      <color rgb="FFFFFFFF"/>
      <name val="Arial"/>
      <family val="2"/>
    </font>
    <font>
      <i/>
      <sz val="9"/>
      <color rgb="FF595959"/>
      <name val="Arial"/>
      <family val="2"/>
    </font>
    <font>
      <b/>
      <sz val="48"/>
      <color theme="1"/>
      <name val="Calibri"/>
      <family val="2"/>
      <scheme val="minor"/>
    </font>
  </fonts>
  <fills count="38">
    <fill>
      <patternFill patternType="none"/>
    </fill>
    <fill>
      <patternFill patternType="gray125"/>
    </fill>
    <fill>
      <patternFill patternType="solid">
        <fgColor rgb="FF2F5496"/>
      </patternFill>
    </fill>
    <fill>
      <patternFill patternType="solid">
        <fgColor rgb="FFFFFF0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1B1F3A"/>
      </patternFill>
    </fill>
    <fill>
      <patternFill patternType="solid">
        <fgColor rgb="FF2D3047"/>
      </patternFill>
    </fill>
    <fill>
      <patternFill patternType="solid">
        <fgColor rgb="FF2E86AB"/>
      </patternFill>
    </fill>
    <fill>
      <patternFill patternType="solid">
        <fgColor rgb="FFE84855"/>
      </patternFill>
    </fill>
    <fill>
      <patternFill patternType="solid">
        <fgColor rgb="FFF4A261"/>
      </patternFill>
    </fill>
    <fill>
      <patternFill patternType="solid">
        <fgColor rgb="FFE8E8E8"/>
      </patternFill>
    </fill>
    <fill>
      <patternFill patternType="solid">
        <fgColor theme="6"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305496"/>
        <bgColor rgb="FF595959"/>
      </patternFill>
    </fill>
    <fill>
      <patternFill patternType="solid">
        <fgColor rgb="FFFFF2CC"/>
        <bgColor rgb="FFFCE4D6"/>
      </patternFill>
    </fill>
    <fill>
      <patternFill patternType="solid">
        <fgColor rgb="FFE2EFDA"/>
        <bgColor rgb="FFFCE4D6"/>
      </patternFill>
    </fill>
    <fill>
      <patternFill patternType="solid">
        <fgColor rgb="FFFCE4D6"/>
        <bgColor rgb="FFFFF2CC"/>
      </patternFill>
    </fill>
    <fill>
      <patternFill patternType="solid">
        <fgColor theme="5" tint="-0.249977111117893"/>
        <bgColor rgb="FF595959"/>
      </patternFill>
    </fill>
    <fill>
      <patternFill patternType="solid">
        <fgColor theme="6" tint="-0.499984740745262"/>
        <bgColor rgb="FF595959"/>
      </patternFill>
    </fill>
    <fill>
      <patternFill patternType="solid">
        <fgColor theme="2" tint="-0.249977111117893"/>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theme="8" tint="0.39997558519241921"/>
        <bgColor indexed="64"/>
      </patternFill>
    </fill>
    <fill>
      <patternFill patternType="solid">
        <fgColor theme="0" tint="-4.9989318521683403E-2"/>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rgb="FF808080"/>
      </left>
      <right style="thin">
        <color rgb="FF808080"/>
      </right>
      <top style="thin">
        <color rgb="FF808080"/>
      </top>
      <bottom style="thin">
        <color rgb="FF808080"/>
      </bottom>
      <diagonal/>
    </border>
    <border>
      <left style="thin">
        <color auto="1"/>
      </left>
      <right/>
      <top/>
      <bottom/>
      <diagonal/>
    </border>
  </borders>
  <cellStyleXfs count="1">
    <xf numFmtId="0" fontId="0" fillId="0" borderId="0"/>
  </cellStyleXfs>
  <cellXfs count="85">
    <xf numFmtId="0" fontId="0" fillId="0" borderId="0" xfId="0"/>
    <xf numFmtId="0" fontId="1" fillId="5" borderId="0" xfId="0" applyFont="1" applyFill="1" applyAlignment="1">
      <alignment horizontal="center"/>
    </xf>
    <xf numFmtId="0" fontId="3" fillId="3" borderId="0" xfId="0" applyFont="1" applyFill="1"/>
    <xf numFmtId="0" fontId="2" fillId="0" borderId="0" xfId="0" applyFont="1"/>
    <xf numFmtId="0" fontId="3" fillId="4" borderId="0" xfId="0" applyFont="1" applyFill="1"/>
    <xf numFmtId="0" fontId="4" fillId="2" borderId="1" xfId="0" applyFont="1" applyFill="1" applyBorder="1" applyAlignment="1">
      <alignment horizontal="center" vertical="center" wrapText="1"/>
    </xf>
    <xf numFmtId="0" fontId="5" fillId="0" borderId="0" xfId="0" applyFont="1"/>
    <xf numFmtId="0" fontId="5" fillId="0" borderId="1" xfId="0" applyFont="1" applyBorder="1" applyAlignment="1">
      <alignment horizontal="center" vertical="top" wrapText="1"/>
    </xf>
    <xf numFmtId="0" fontId="5" fillId="0" borderId="0" xfId="0" applyFont="1" applyAlignment="1">
      <alignment horizont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0" borderId="1" xfId="0" applyFont="1" applyBorder="1" applyAlignment="1">
      <alignment horizontal="center" vertical="center"/>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8" fillId="0" borderId="1" xfId="0" applyFont="1" applyBorder="1" applyAlignment="1">
      <alignment horizontal="center" vertical="center"/>
    </xf>
    <xf numFmtId="0" fontId="5" fillId="3" borderId="1" xfId="0" applyFont="1" applyFill="1" applyBorder="1" applyAlignment="1">
      <alignment horizontal="center" vertical="top" wrapText="1"/>
    </xf>
    <xf numFmtId="0" fontId="5" fillId="3" borderId="1" xfId="0" applyFont="1" applyFill="1" applyBorder="1" applyAlignment="1">
      <alignment vertical="top" wrapText="1"/>
    </xf>
    <xf numFmtId="0" fontId="5" fillId="12" borderId="1" xfId="0" applyFont="1" applyFill="1" applyBorder="1" applyAlignment="1">
      <alignment horizontal="center" vertical="top" wrapText="1"/>
    </xf>
    <xf numFmtId="0" fontId="5" fillId="12" borderId="1" xfId="0" applyFont="1" applyFill="1" applyBorder="1" applyAlignment="1">
      <alignment vertical="top" wrapText="1"/>
    </xf>
    <xf numFmtId="0" fontId="5" fillId="13" borderId="1" xfId="0" applyFont="1" applyFill="1" applyBorder="1" applyAlignment="1">
      <alignment horizontal="center" vertical="top" wrapText="1"/>
    </xf>
    <xf numFmtId="0" fontId="5" fillId="13" borderId="1" xfId="0" applyFont="1" applyFill="1" applyBorder="1" applyAlignment="1">
      <alignment vertical="top" wrapText="1"/>
    </xf>
    <xf numFmtId="0" fontId="5" fillId="14" borderId="1" xfId="0" applyFont="1" applyFill="1" applyBorder="1" applyAlignment="1">
      <alignment horizontal="center" vertical="top" wrapText="1"/>
    </xf>
    <xf numFmtId="0" fontId="5" fillId="14" borderId="1" xfId="0" applyFont="1" applyFill="1" applyBorder="1" applyAlignment="1">
      <alignment vertical="top" wrapText="1"/>
    </xf>
    <xf numFmtId="0" fontId="8" fillId="14" borderId="1" xfId="0" applyFont="1" applyFill="1" applyBorder="1" applyAlignment="1">
      <alignment horizontal="center" vertical="center"/>
    </xf>
    <xf numFmtId="0" fontId="5" fillId="16" borderId="0" xfId="0" applyFont="1" applyFill="1" applyAlignment="1">
      <alignment horizontal="center"/>
    </xf>
    <xf numFmtId="0" fontId="5" fillId="16" borderId="1" xfId="0" applyFont="1" applyFill="1" applyBorder="1" applyAlignment="1">
      <alignment horizontal="center" vertical="top" wrapText="1"/>
    </xf>
    <xf numFmtId="0" fontId="11" fillId="16"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8" fillId="5" borderId="1" xfId="0" applyFont="1" applyFill="1" applyBorder="1" applyAlignment="1">
      <alignment horizontal="center" vertical="center"/>
    </xf>
    <xf numFmtId="0" fontId="5" fillId="18" borderId="2" xfId="0" applyFont="1" applyFill="1" applyBorder="1" applyAlignment="1">
      <alignment horizontal="center"/>
    </xf>
    <xf numFmtId="0" fontId="5" fillId="18" borderId="3" xfId="0" applyFont="1" applyFill="1" applyBorder="1" applyAlignment="1">
      <alignment horizontal="center"/>
    </xf>
    <xf numFmtId="0" fontId="12" fillId="19" borderId="1" xfId="0" applyFont="1" applyFill="1" applyBorder="1" applyAlignment="1">
      <alignment horizontal="center" vertical="center"/>
    </xf>
    <xf numFmtId="0" fontId="12" fillId="20" borderId="1" xfId="0" applyFont="1" applyFill="1" applyBorder="1" applyAlignment="1">
      <alignment horizontal="center" vertical="center"/>
    </xf>
    <xf numFmtId="0" fontId="12" fillId="21"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22" borderId="1" xfId="0" applyFont="1" applyFill="1" applyBorder="1" applyAlignment="1">
      <alignment horizontal="center" vertical="center"/>
    </xf>
    <xf numFmtId="164" fontId="13" fillId="22" borderId="1" xfId="0" applyNumberFormat="1" applyFont="1" applyFill="1" applyBorder="1" applyAlignment="1">
      <alignment horizontal="center" vertical="center"/>
    </xf>
    <xf numFmtId="0" fontId="13" fillId="23" borderId="1" xfId="0" applyFont="1" applyFill="1" applyBorder="1" applyAlignment="1">
      <alignment horizontal="center" vertical="center"/>
    </xf>
    <xf numFmtId="164" fontId="13" fillId="23" borderId="1" xfId="0" applyNumberFormat="1" applyFont="1" applyFill="1" applyBorder="1" applyAlignment="1">
      <alignment horizontal="center" vertical="center"/>
    </xf>
    <xf numFmtId="0" fontId="13" fillId="24" borderId="1" xfId="0" applyFont="1" applyFill="1" applyBorder="1" applyAlignment="1">
      <alignment horizontal="center" vertical="center"/>
    </xf>
    <xf numFmtId="164" fontId="13" fillId="24" borderId="1" xfId="0" applyNumberFormat="1" applyFont="1" applyFill="1" applyBorder="1" applyAlignment="1">
      <alignment horizontal="center" vertical="center"/>
    </xf>
    <xf numFmtId="0" fontId="17" fillId="25" borderId="4" xfId="0" applyFont="1" applyFill="1" applyBorder="1" applyAlignment="1">
      <alignment horizontal="center" vertical="center" wrapText="1"/>
    </xf>
    <xf numFmtId="0" fontId="16" fillId="26" borderId="4" xfId="0" applyFont="1" applyFill="1" applyBorder="1" applyAlignment="1">
      <alignment horizontal="left" vertical="center" wrapText="1"/>
    </xf>
    <xf numFmtId="0" fontId="16" fillId="26" borderId="4" xfId="0" applyFont="1" applyFill="1" applyBorder="1" applyAlignment="1">
      <alignment horizontal="center" vertical="center" wrapText="1"/>
    </xf>
    <xf numFmtId="2" fontId="16" fillId="26" borderId="4" xfId="0" applyNumberFormat="1" applyFont="1" applyFill="1" applyBorder="1" applyAlignment="1">
      <alignment horizontal="center" vertical="center" wrapText="1"/>
    </xf>
    <xf numFmtId="0" fontId="16" fillId="27" borderId="4" xfId="0" applyFont="1" applyFill="1" applyBorder="1" applyAlignment="1">
      <alignment horizontal="left" vertical="center" wrapText="1"/>
    </xf>
    <xf numFmtId="0" fontId="16" fillId="27" borderId="4" xfId="0" applyFont="1" applyFill="1" applyBorder="1" applyAlignment="1">
      <alignment horizontal="center" vertical="center" wrapText="1"/>
    </xf>
    <xf numFmtId="2" fontId="16" fillId="27" borderId="4" xfId="0" applyNumberFormat="1" applyFont="1" applyFill="1" applyBorder="1" applyAlignment="1">
      <alignment horizontal="center" vertical="center" wrapText="1"/>
    </xf>
    <xf numFmtId="0" fontId="16" fillId="28" borderId="4" xfId="0" applyFont="1" applyFill="1" applyBorder="1" applyAlignment="1">
      <alignment horizontal="left" vertical="center" wrapText="1"/>
    </xf>
    <xf numFmtId="0" fontId="16" fillId="28" borderId="4" xfId="0" applyFont="1" applyFill="1" applyBorder="1" applyAlignment="1">
      <alignment horizontal="center" vertical="center" wrapText="1"/>
    </xf>
    <xf numFmtId="2" fontId="16" fillId="28" borderId="4" xfId="0" applyNumberFormat="1" applyFont="1" applyFill="1" applyBorder="1" applyAlignment="1">
      <alignment horizontal="center" vertical="center" wrapText="1"/>
    </xf>
    <xf numFmtId="0" fontId="17" fillId="29" borderId="4" xfId="0" applyFont="1" applyFill="1" applyBorder="1" applyAlignment="1">
      <alignment horizontal="center" vertical="center" wrapText="1"/>
    </xf>
    <xf numFmtId="0" fontId="17" fillId="30" borderId="4" xfId="0" applyFont="1" applyFill="1" applyBorder="1" applyAlignment="1">
      <alignment horizontal="center" vertical="center" wrapText="1"/>
    </xf>
    <xf numFmtId="2" fontId="13" fillId="22" borderId="1" xfId="0" applyNumberFormat="1" applyFont="1" applyFill="1" applyBorder="1" applyAlignment="1">
      <alignment horizontal="center" vertical="center"/>
    </xf>
    <xf numFmtId="2" fontId="13" fillId="23" borderId="1" xfId="0" applyNumberFormat="1" applyFont="1" applyFill="1" applyBorder="1" applyAlignment="1">
      <alignment horizontal="center" vertical="center"/>
    </xf>
    <xf numFmtId="2" fontId="13" fillId="24" borderId="1" xfId="0" applyNumberFormat="1" applyFont="1" applyFill="1" applyBorder="1" applyAlignment="1">
      <alignment horizontal="center" vertical="center"/>
    </xf>
    <xf numFmtId="0" fontId="8" fillId="32" borderId="1" xfId="0" applyFont="1" applyFill="1" applyBorder="1" applyAlignment="1">
      <alignment horizontal="center" vertical="center"/>
    </xf>
    <xf numFmtId="0" fontId="8" fillId="31" borderId="1" xfId="0" applyFont="1" applyFill="1" applyBorder="1" applyAlignment="1">
      <alignment horizontal="center" vertical="center"/>
    </xf>
    <xf numFmtId="0" fontId="15" fillId="23" borderId="1" xfId="0" applyFont="1" applyFill="1" applyBorder="1" applyAlignment="1">
      <alignment horizontal="center" vertical="center"/>
    </xf>
    <xf numFmtId="0" fontId="5" fillId="3" borderId="0" xfId="0" applyFont="1" applyFill="1"/>
    <xf numFmtId="0" fontId="5" fillId="34" borderId="1" xfId="0" applyFont="1" applyFill="1" applyBorder="1" applyAlignment="1">
      <alignment horizontal="center" vertical="top" wrapText="1"/>
    </xf>
    <xf numFmtId="0" fontId="5" fillId="34" borderId="1" xfId="0" applyFont="1" applyFill="1" applyBorder="1" applyAlignment="1">
      <alignment vertical="top" wrapText="1"/>
    </xf>
    <xf numFmtId="0" fontId="6" fillId="35" borderId="1" xfId="0" applyFont="1" applyFill="1" applyBorder="1" applyAlignment="1">
      <alignment horizontal="center" vertical="center"/>
    </xf>
    <xf numFmtId="0" fontId="5" fillId="18" borderId="1" xfId="0" applyFont="1" applyFill="1" applyBorder="1" applyAlignment="1">
      <alignment horizontal="center" vertical="top" wrapText="1"/>
    </xf>
    <xf numFmtId="0" fontId="5" fillId="21" borderId="1" xfId="0" applyFont="1" applyFill="1" applyBorder="1" applyAlignment="1">
      <alignment horizontal="center" vertical="top" wrapText="1"/>
    </xf>
    <xf numFmtId="0" fontId="5" fillId="36" borderId="1" xfId="0" applyFont="1" applyFill="1" applyBorder="1" applyAlignment="1">
      <alignment horizontal="center" vertical="top" wrapText="1"/>
    </xf>
    <xf numFmtId="0" fontId="14" fillId="4" borderId="0" xfId="0" applyFont="1" applyFill="1" applyAlignment="1">
      <alignment horizontal="center" vertical="center"/>
    </xf>
    <xf numFmtId="0" fontId="6" fillId="17" borderId="5" xfId="0" applyFont="1" applyFill="1" applyBorder="1" applyAlignment="1">
      <alignment horizontal="center" vertical="center"/>
    </xf>
    <xf numFmtId="0" fontId="6" fillId="17" borderId="0" xfId="0" applyFont="1" applyFill="1" applyAlignment="1">
      <alignment horizontal="center" vertical="center"/>
    </xf>
    <xf numFmtId="0" fontId="19" fillId="15" borderId="2" xfId="0" applyFont="1" applyFill="1" applyBorder="1" applyAlignment="1">
      <alignment horizontal="center" vertical="center"/>
    </xf>
    <xf numFmtId="0" fontId="19" fillId="15" borderId="3" xfId="0" applyFont="1" applyFill="1" applyBorder="1" applyAlignment="1">
      <alignment horizontal="center" vertical="center"/>
    </xf>
    <xf numFmtId="0" fontId="19" fillId="33" borderId="2" xfId="0" applyFont="1" applyFill="1" applyBorder="1" applyAlignment="1">
      <alignment horizontal="center" vertical="center"/>
    </xf>
    <xf numFmtId="0" fontId="19" fillId="33" borderId="3" xfId="0" applyFont="1" applyFill="1" applyBorder="1" applyAlignment="1">
      <alignment horizontal="center" vertical="center"/>
    </xf>
    <xf numFmtId="0" fontId="19" fillId="5" borderId="2" xfId="0" applyFont="1" applyFill="1" applyBorder="1" applyAlignment="1">
      <alignment horizontal="center" vertical="center"/>
    </xf>
    <xf numFmtId="0" fontId="19" fillId="5" borderId="3" xfId="0" applyFont="1" applyFill="1" applyBorder="1" applyAlignment="1">
      <alignment horizontal="center" vertical="center"/>
    </xf>
    <xf numFmtId="0" fontId="9" fillId="0" borderId="0" xfId="0" applyFont="1" applyAlignment="1">
      <alignment horizontal="center" vertical="center"/>
    </xf>
    <xf numFmtId="0" fontId="9" fillId="6" borderId="0" xfId="0" applyFont="1" applyFill="1" applyAlignment="1">
      <alignment horizontal="center" vertical="center"/>
    </xf>
    <xf numFmtId="0" fontId="10" fillId="4" borderId="0" xfId="0" applyFont="1" applyFill="1" applyAlignment="1">
      <alignment horizontal="center" vertical="center"/>
    </xf>
    <xf numFmtId="0" fontId="18" fillId="0" borderId="0" xfId="0" applyFont="1"/>
    <xf numFmtId="0" fontId="6" fillId="17" borderId="0" xfId="0" applyFont="1" applyFill="1" applyBorder="1" applyAlignment="1">
      <alignment horizontal="center" vertical="center"/>
    </xf>
    <xf numFmtId="0" fontId="15" fillId="31" borderId="0" xfId="0" applyFont="1" applyFill="1" applyAlignment="1">
      <alignment horizontal="center" vertical="center"/>
    </xf>
    <xf numFmtId="0" fontId="13" fillId="37" borderId="1" xfId="0" applyFont="1" applyFill="1" applyBorder="1" applyAlignment="1">
      <alignment horizontal="center" vertical="center"/>
    </xf>
    <xf numFmtId="0" fontId="13" fillId="4" borderId="1" xfId="0" applyFont="1" applyFill="1" applyBorder="1" applyAlignment="1">
      <alignment horizontal="center" vertical="center"/>
    </xf>
    <xf numFmtId="2" fontId="13" fillId="37"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Evaluator_1_Riva!$H$5:$H$7</c:f>
              <c:strCache>
                <c:ptCount val="3"/>
                <c:pt idx="0">
                  <c:v>A</c:v>
                </c:pt>
                <c:pt idx="1">
                  <c:v>B</c:v>
                </c:pt>
                <c:pt idx="2">
                  <c:v>Tie</c:v>
                </c:pt>
              </c:strCache>
            </c:strRef>
          </c:cat>
          <c:val>
            <c:numRef>
              <c:f>Evaluator_1_Riva!$I$5:$I$7</c:f>
              <c:numCache>
                <c:formatCode>General</c:formatCode>
                <c:ptCount val="3"/>
                <c:pt idx="0">
                  <c:v>39</c:v>
                </c:pt>
                <c:pt idx="1">
                  <c:v>19</c:v>
                </c:pt>
                <c:pt idx="2">
                  <c:v>2</c:v>
                </c:pt>
              </c:numCache>
            </c:numRef>
          </c:val>
          <c:extLst>
            <c:ext xmlns:c16="http://schemas.microsoft.com/office/drawing/2014/chart" uri="{C3380CC4-5D6E-409C-BE32-E72D297353CC}">
              <c16:uniqueId val="{00000000-2564-4F4C-9E80-9E98751AB196}"/>
            </c:ext>
          </c:extLst>
        </c:ser>
        <c:dLbls>
          <c:showLegendKey val="0"/>
          <c:showVal val="0"/>
          <c:showCatName val="0"/>
          <c:showSerName val="0"/>
          <c:showPercent val="0"/>
          <c:showBubbleSize val="0"/>
        </c:dLbls>
        <c:gapWidth val="150"/>
        <c:shape val="box"/>
        <c:axId val="1014306176"/>
        <c:axId val="1014322976"/>
        <c:axId val="0"/>
      </c:bar3DChart>
      <c:catAx>
        <c:axId val="101430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22976"/>
        <c:crosses val="autoZero"/>
        <c:auto val="1"/>
        <c:lblAlgn val="ctr"/>
        <c:lblOffset val="100"/>
        <c:noMultiLvlLbl val="0"/>
      </c:catAx>
      <c:valAx>
        <c:axId val="10143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0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Evaluator_2_Fatimah!$H$5:$H$7</c:f>
              <c:strCache>
                <c:ptCount val="3"/>
                <c:pt idx="0">
                  <c:v>A</c:v>
                </c:pt>
                <c:pt idx="1">
                  <c:v>B</c:v>
                </c:pt>
                <c:pt idx="2">
                  <c:v>Tie</c:v>
                </c:pt>
              </c:strCache>
            </c:strRef>
          </c:cat>
          <c:val>
            <c:numRef>
              <c:f>Evaluator_2_Fatimah!$I$5:$I$7</c:f>
              <c:numCache>
                <c:formatCode>General</c:formatCode>
                <c:ptCount val="3"/>
                <c:pt idx="0">
                  <c:v>35</c:v>
                </c:pt>
                <c:pt idx="1">
                  <c:v>22</c:v>
                </c:pt>
                <c:pt idx="2">
                  <c:v>3</c:v>
                </c:pt>
              </c:numCache>
            </c:numRef>
          </c:val>
          <c:extLst>
            <c:ext xmlns:c16="http://schemas.microsoft.com/office/drawing/2014/chart" uri="{C3380CC4-5D6E-409C-BE32-E72D297353CC}">
              <c16:uniqueId val="{00000000-F4F8-45D3-97D4-C549973A7094}"/>
            </c:ext>
          </c:extLst>
        </c:ser>
        <c:dLbls>
          <c:showLegendKey val="0"/>
          <c:showVal val="0"/>
          <c:showCatName val="0"/>
          <c:showSerName val="0"/>
          <c:showPercent val="0"/>
          <c:showBubbleSize val="0"/>
        </c:dLbls>
        <c:gapWidth val="150"/>
        <c:shape val="box"/>
        <c:axId val="1014306176"/>
        <c:axId val="1014322976"/>
        <c:axId val="0"/>
      </c:bar3DChart>
      <c:catAx>
        <c:axId val="101430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22976"/>
        <c:crosses val="autoZero"/>
        <c:auto val="1"/>
        <c:lblAlgn val="ctr"/>
        <c:lblOffset val="100"/>
        <c:noMultiLvlLbl val="0"/>
      </c:catAx>
      <c:valAx>
        <c:axId val="10143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0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Evaluator_3_Diyan!$H$5:$H$7</c:f>
              <c:strCache>
                <c:ptCount val="3"/>
                <c:pt idx="0">
                  <c:v>A</c:v>
                </c:pt>
                <c:pt idx="1">
                  <c:v>B</c:v>
                </c:pt>
                <c:pt idx="2">
                  <c:v>Tie</c:v>
                </c:pt>
              </c:strCache>
            </c:strRef>
          </c:cat>
          <c:val>
            <c:numRef>
              <c:f>Evaluator_3_Diyan!$I$5:$I$7</c:f>
              <c:numCache>
                <c:formatCode>General</c:formatCode>
                <c:ptCount val="3"/>
                <c:pt idx="0">
                  <c:v>27</c:v>
                </c:pt>
                <c:pt idx="1">
                  <c:v>25</c:v>
                </c:pt>
                <c:pt idx="2">
                  <c:v>8</c:v>
                </c:pt>
              </c:numCache>
            </c:numRef>
          </c:val>
          <c:extLst>
            <c:ext xmlns:c16="http://schemas.microsoft.com/office/drawing/2014/chart" uri="{C3380CC4-5D6E-409C-BE32-E72D297353CC}">
              <c16:uniqueId val="{00000000-0517-496A-BADF-20F47D150927}"/>
            </c:ext>
          </c:extLst>
        </c:ser>
        <c:dLbls>
          <c:showLegendKey val="0"/>
          <c:showVal val="0"/>
          <c:showCatName val="0"/>
          <c:showSerName val="0"/>
          <c:showPercent val="0"/>
          <c:showBubbleSize val="0"/>
        </c:dLbls>
        <c:gapWidth val="150"/>
        <c:shape val="box"/>
        <c:axId val="1014306176"/>
        <c:axId val="1014322976"/>
        <c:axId val="0"/>
      </c:bar3DChart>
      <c:catAx>
        <c:axId val="101430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22976"/>
        <c:crosses val="autoZero"/>
        <c:auto val="1"/>
        <c:lblAlgn val="ctr"/>
        <c:lblOffset val="100"/>
        <c:noMultiLvlLbl val="0"/>
      </c:catAx>
      <c:valAx>
        <c:axId val="101432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0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80288131349674E-2"/>
          <c:y val="6.3002430381482011E-2"/>
          <c:w val="0.95252779410263955"/>
          <c:h val="0.93699756961851799"/>
        </c:manualLayout>
      </c:layout>
      <c:bar3DChart>
        <c:barDir val="bar"/>
        <c:grouping val="stacked"/>
        <c:varyColors val="0"/>
        <c:ser>
          <c:idx val="0"/>
          <c:order val="0"/>
          <c:tx>
            <c:strRef>
              <c:f>MODEL!$T$5</c:f>
              <c:strCache>
                <c:ptCount val="1"/>
                <c:pt idx="0">
                  <c:v>A (model)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MODEL!$U$4:$W$4</c:f>
              <c:strCache>
                <c:ptCount val="3"/>
                <c:pt idx="0">
                  <c:v>SLM</c:v>
                </c:pt>
                <c:pt idx="1">
                  <c:v>MLM</c:v>
                </c:pt>
                <c:pt idx="2">
                  <c:v>LLM</c:v>
                </c:pt>
              </c:strCache>
            </c:strRef>
          </c:cat>
          <c:val>
            <c:numRef>
              <c:f>MODEL!$U$5:$W$5</c:f>
              <c:numCache>
                <c:formatCode>General</c:formatCode>
                <c:ptCount val="3"/>
                <c:pt idx="0">
                  <c:v>21</c:v>
                </c:pt>
                <c:pt idx="1">
                  <c:v>34</c:v>
                </c:pt>
                <c:pt idx="2">
                  <c:v>46</c:v>
                </c:pt>
              </c:numCache>
            </c:numRef>
          </c:val>
          <c:extLst>
            <c:ext xmlns:c16="http://schemas.microsoft.com/office/drawing/2014/chart" uri="{C3380CC4-5D6E-409C-BE32-E72D297353CC}">
              <c16:uniqueId val="{00000000-054F-4303-A9B0-D82B4C09C1C8}"/>
            </c:ext>
          </c:extLst>
        </c:ser>
        <c:ser>
          <c:idx val="1"/>
          <c:order val="1"/>
          <c:tx>
            <c:strRef>
              <c:f>MODEL!$T$6</c:f>
              <c:strCache>
                <c:ptCount val="1"/>
                <c:pt idx="0">
                  <c:v>B (GT)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MODEL!$U$4:$W$4</c:f>
              <c:strCache>
                <c:ptCount val="3"/>
                <c:pt idx="0">
                  <c:v>SLM</c:v>
                </c:pt>
                <c:pt idx="1">
                  <c:v>MLM</c:v>
                </c:pt>
                <c:pt idx="2">
                  <c:v>LLM</c:v>
                </c:pt>
              </c:strCache>
            </c:strRef>
          </c:cat>
          <c:val>
            <c:numRef>
              <c:f>MODEL!$U$6:$W$6</c:f>
              <c:numCache>
                <c:formatCode>General</c:formatCode>
                <c:ptCount val="3"/>
                <c:pt idx="0">
                  <c:v>39</c:v>
                </c:pt>
                <c:pt idx="1">
                  <c:v>24</c:v>
                </c:pt>
                <c:pt idx="2">
                  <c:v>3</c:v>
                </c:pt>
              </c:numCache>
            </c:numRef>
          </c:val>
          <c:extLst>
            <c:ext xmlns:c16="http://schemas.microsoft.com/office/drawing/2014/chart" uri="{C3380CC4-5D6E-409C-BE32-E72D297353CC}">
              <c16:uniqueId val="{00000001-054F-4303-A9B0-D82B4C09C1C8}"/>
            </c:ext>
          </c:extLst>
        </c:ser>
        <c:ser>
          <c:idx val="2"/>
          <c:order val="2"/>
          <c:tx>
            <c:strRef>
              <c:f>MODEL!$T$7</c:f>
              <c:strCache>
                <c:ptCount val="1"/>
                <c:pt idx="0">
                  <c:v>Tie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MODEL!$U$4:$W$4</c:f>
              <c:strCache>
                <c:ptCount val="3"/>
                <c:pt idx="0">
                  <c:v>SLM</c:v>
                </c:pt>
                <c:pt idx="1">
                  <c:v>MLM</c:v>
                </c:pt>
                <c:pt idx="2">
                  <c:v>LLM</c:v>
                </c:pt>
              </c:strCache>
            </c:strRef>
          </c:cat>
          <c:val>
            <c:numRef>
              <c:f>MODEL!$U$7:$W$7</c:f>
              <c:numCache>
                <c:formatCode>General</c:formatCode>
                <c:ptCount val="3"/>
                <c:pt idx="0">
                  <c:v>0</c:v>
                </c:pt>
                <c:pt idx="1">
                  <c:v>2</c:v>
                </c:pt>
                <c:pt idx="2">
                  <c:v>11</c:v>
                </c:pt>
              </c:numCache>
            </c:numRef>
          </c:val>
          <c:extLst>
            <c:ext xmlns:c16="http://schemas.microsoft.com/office/drawing/2014/chart" uri="{C3380CC4-5D6E-409C-BE32-E72D297353CC}">
              <c16:uniqueId val="{00000002-054F-4303-A9B0-D82B4C09C1C8}"/>
            </c:ext>
          </c:extLst>
        </c:ser>
        <c:dLbls>
          <c:showLegendKey val="0"/>
          <c:showVal val="1"/>
          <c:showCatName val="0"/>
          <c:showSerName val="0"/>
          <c:showPercent val="0"/>
          <c:showBubbleSize val="0"/>
        </c:dLbls>
        <c:gapWidth val="79"/>
        <c:shape val="box"/>
        <c:axId val="688705824"/>
        <c:axId val="688719744"/>
        <c:axId val="0"/>
      </c:bar3DChart>
      <c:catAx>
        <c:axId val="68870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8719744"/>
        <c:crosses val="autoZero"/>
        <c:auto val="1"/>
        <c:lblAlgn val="ctr"/>
        <c:lblOffset val="100"/>
        <c:noMultiLvlLbl val="0"/>
      </c:catAx>
      <c:valAx>
        <c:axId val="688719744"/>
        <c:scaling>
          <c:orientation val="minMax"/>
        </c:scaling>
        <c:delete val="1"/>
        <c:axPos val="b"/>
        <c:numFmt formatCode="General" sourceLinked="1"/>
        <c:majorTickMark val="none"/>
        <c:minorTickMark val="none"/>
        <c:tickLblPos val="nextTo"/>
        <c:crossAx val="688705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t>SLM | 3 Evaluator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'WIN RATE'!$Y$9</c:f>
              <c:strCache>
                <c:ptCount val="1"/>
                <c:pt idx="0">
                  <c:v>WR Model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RATE'!$Z$9:$AC$9</c:f>
              <c:numCache>
                <c:formatCode>0.00</c:formatCode>
                <c:ptCount val="4"/>
                <c:pt idx="0">
                  <c:v>86.666666666666671</c:v>
                </c:pt>
                <c:pt idx="1">
                  <c:v>33.333333333333329</c:v>
                </c:pt>
                <c:pt idx="2">
                  <c:v>20</c:v>
                </c:pt>
                <c:pt idx="3">
                  <c:v>0</c:v>
                </c:pt>
              </c:numCache>
            </c:numRef>
          </c:val>
          <c:extLst>
            <c:ext xmlns:c16="http://schemas.microsoft.com/office/drawing/2014/chart" uri="{C3380CC4-5D6E-409C-BE32-E72D297353CC}">
              <c16:uniqueId val="{00000000-388F-465C-B224-FA3A8A5C5BFA}"/>
            </c:ext>
          </c:extLst>
        </c:ser>
        <c:ser>
          <c:idx val="1"/>
          <c:order val="1"/>
          <c:tx>
            <c:strRef>
              <c:f>'WIN RATE'!$Y$10</c:f>
              <c:strCache>
                <c:ptCount val="1"/>
                <c:pt idx="0">
                  <c:v>WR GT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RATE'!$Z$10:$AC$10</c:f>
              <c:numCache>
                <c:formatCode>0.00</c:formatCode>
                <c:ptCount val="4"/>
                <c:pt idx="0">
                  <c:v>13.333333333333334</c:v>
                </c:pt>
                <c:pt idx="1">
                  <c:v>66.666666666666657</c:v>
                </c:pt>
                <c:pt idx="2">
                  <c:v>80</c:v>
                </c:pt>
                <c:pt idx="3">
                  <c:v>100</c:v>
                </c:pt>
              </c:numCache>
            </c:numRef>
          </c:val>
          <c:extLst>
            <c:ext xmlns:c16="http://schemas.microsoft.com/office/drawing/2014/chart" uri="{C3380CC4-5D6E-409C-BE32-E72D297353CC}">
              <c16:uniqueId val="{00000001-388F-465C-B224-FA3A8A5C5BFA}"/>
            </c:ext>
          </c:extLst>
        </c:ser>
        <c:ser>
          <c:idx val="2"/>
          <c:order val="2"/>
          <c:tx>
            <c:strRef>
              <c:f>'WIN RATE'!$Y$11</c:f>
              <c:strCache>
                <c:ptCount val="1"/>
                <c:pt idx="0">
                  <c:v>WR Tie (%)</c:v>
                </c:pt>
              </c:strCache>
            </c:strRef>
          </c:tx>
          <c:spPr>
            <a:solidFill>
              <a:schemeClr val="accent3">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RATE'!$Z$11:$AC$11</c:f>
              <c:numCache>
                <c:formatCode>0.00</c:formatCode>
                <c:ptCount val="4"/>
                <c:pt idx="0">
                  <c:v>0</c:v>
                </c:pt>
                <c:pt idx="1">
                  <c:v>0</c:v>
                </c:pt>
                <c:pt idx="2">
                  <c:v>0</c:v>
                </c:pt>
                <c:pt idx="3">
                  <c:v>0</c:v>
                </c:pt>
              </c:numCache>
            </c:numRef>
          </c:val>
          <c:extLst>
            <c:ext xmlns:c16="http://schemas.microsoft.com/office/drawing/2014/chart" uri="{C3380CC4-5D6E-409C-BE32-E72D297353CC}">
              <c16:uniqueId val="{00000002-388F-465C-B224-FA3A8A5C5BFA}"/>
            </c:ext>
          </c:extLst>
        </c:ser>
        <c:dLbls>
          <c:showLegendKey val="0"/>
          <c:showVal val="1"/>
          <c:showCatName val="0"/>
          <c:showSerName val="0"/>
          <c:showPercent val="0"/>
          <c:showBubbleSize val="0"/>
        </c:dLbls>
        <c:gapWidth val="150"/>
        <c:shape val="box"/>
        <c:axId val="1938382624"/>
        <c:axId val="1938388384"/>
        <c:axId val="0"/>
      </c:bar3DChart>
      <c:catAx>
        <c:axId val="1938382624"/>
        <c:scaling>
          <c:orientation val="minMax"/>
        </c:scaling>
        <c:delete val="0"/>
        <c:axPos val="l"/>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938388384"/>
        <c:crosses val="autoZero"/>
        <c:auto val="1"/>
        <c:lblAlgn val="ctr"/>
        <c:lblOffset val="100"/>
        <c:noMultiLvlLbl val="0"/>
      </c:catAx>
      <c:valAx>
        <c:axId val="19383883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938382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t>MLM | 3 Evaluator</a:t>
            </a:r>
          </a:p>
        </c:rich>
      </c:tx>
      <c:layout>
        <c:manualLayout>
          <c:xMode val="edge"/>
          <c:yMode val="edge"/>
          <c:x val="0.34217128151351861"/>
          <c:y val="6.95928010137972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'WIN RATE'!$Y$26</c:f>
              <c:strCache>
                <c:ptCount val="1"/>
                <c:pt idx="0">
                  <c:v>WR Model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RATE'!$Z$26:$AC$26</c:f>
              <c:numCache>
                <c:formatCode>0.00</c:formatCode>
                <c:ptCount val="4"/>
                <c:pt idx="0">
                  <c:v>73.333333333333329</c:v>
                </c:pt>
                <c:pt idx="1">
                  <c:v>46.666666666666664</c:v>
                </c:pt>
                <c:pt idx="2">
                  <c:v>60</c:v>
                </c:pt>
                <c:pt idx="3">
                  <c:v>46.666666666666664</c:v>
                </c:pt>
              </c:numCache>
            </c:numRef>
          </c:val>
          <c:extLst>
            <c:ext xmlns:c16="http://schemas.microsoft.com/office/drawing/2014/chart" uri="{C3380CC4-5D6E-409C-BE32-E72D297353CC}">
              <c16:uniqueId val="{00000000-77B0-4C23-B975-46912764901E}"/>
            </c:ext>
          </c:extLst>
        </c:ser>
        <c:ser>
          <c:idx val="1"/>
          <c:order val="1"/>
          <c:tx>
            <c:strRef>
              <c:f>'WIN RATE'!$Y$27</c:f>
              <c:strCache>
                <c:ptCount val="1"/>
                <c:pt idx="0">
                  <c:v>WR GT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RATE'!$Z$27:$AC$27</c:f>
              <c:numCache>
                <c:formatCode>0.00</c:formatCode>
                <c:ptCount val="4"/>
                <c:pt idx="0">
                  <c:v>26.666666666666668</c:v>
                </c:pt>
                <c:pt idx="1">
                  <c:v>46.666666666666664</c:v>
                </c:pt>
                <c:pt idx="2">
                  <c:v>40</c:v>
                </c:pt>
                <c:pt idx="3">
                  <c:v>46.666666666666664</c:v>
                </c:pt>
              </c:numCache>
            </c:numRef>
          </c:val>
          <c:extLst>
            <c:ext xmlns:c16="http://schemas.microsoft.com/office/drawing/2014/chart" uri="{C3380CC4-5D6E-409C-BE32-E72D297353CC}">
              <c16:uniqueId val="{00000001-77B0-4C23-B975-46912764901E}"/>
            </c:ext>
          </c:extLst>
        </c:ser>
        <c:ser>
          <c:idx val="2"/>
          <c:order val="2"/>
          <c:tx>
            <c:strRef>
              <c:f>'WIN RATE'!$Y$28</c:f>
              <c:strCache>
                <c:ptCount val="1"/>
                <c:pt idx="0">
                  <c:v>WR Tie (%)</c:v>
                </c:pt>
              </c:strCache>
            </c:strRef>
          </c:tx>
          <c:spPr>
            <a:solidFill>
              <a:schemeClr val="accent3">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RATE'!$Z$28:$AC$28</c:f>
              <c:numCache>
                <c:formatCode>0.00</c:formatCode>
                <c:ptCount val="4"/>
                <c:pt idx="0">
                  <c:v>0</c:v>
                </c:pt>
                <c:pt idx="1">
                  <c:v>6.666666666666667</c:v>
                </c:pt>
                <c:pt idx="2">
                  <c:v>0</c:v>
                </c:pt>
                <c:pt idx="3">
                  <c:v>6.666666666666667</c:v>
                </c:pt>
              </c:numCache>
            </c:numRef>
          </c:val>
          <c:extLst>
            <c:ext xmlns:c16="http://schemas.microsoft.com/office/drawing/2014/chart" uri="{C3380CC4-5D6E-409C-BE32-E72D297353CC}">
              <c16:uniqueId val="{00000002-77B0-4C23-B975-46912764901E}"/>
            </c:ext>
          </c:extLst>
        </c:ser>
        <c:dLbls>
          <c:showLegendKey val="0"/>
          <c:showVal val="1"/>
          <c:showCatName val="0"/>
          <c:showSerName val="0"/>
          <c:showPercent val="0"/>
          <c:showBubbleSize val="0"/>
        </c:dLbls>
        <c:gapWidth val="150"/>
        <c:shape val="box"/>
        <c:axId val="1938376864"/>
        <c:axId val="1938377344"/>
        <c:axId val="0"/>
      </c:bar3DChart>
      <c:catAx>
        <c:axId val="1938376864"/>
        <c:scaling>
          <c:orientation val="minMax"/>
        </c:scaling>
        <c:delete val="0"/>
        <c:axPos val="l"/>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938377344"/>
        <c:crosses val="autoZero"/>
        <c:auto val="1"/>
        <c:lblAlgn val="ctr"/>
        <c:lblOffset val="100"/>
        <c:noMultiLvlLbl val="0"/>
      </c:catAx>
      <c:valAx>
        <c:axId val="1938377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938376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t>LLM | 3 Evaluator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'WIN RATE'!$Y$43</c:f>
              <c:strCache>
                <c:ptCount val="1"/>
                <c:pt idx="0">
                  <c:v>WR Model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RATE'!$Z$43:$AC$43</c:f>
              <c:numCache>
                <c:formatCode>0.00</c:formatCode>
                <c:ptCount val="4"/>
                <c:pt idx="0">
                  <c:v>86.666666666666671</c:v>
                </c:pt>
                <c:pt idx="1">
                  <c:v>73.333333333333329</c:v>
                </c:pt>
                <c:pt idx="2">
                  <c:v>73.333333333333329</c:v>
                </c:pt>
                <c:pt idx="3">
                  <c:v>73.333333333333329</c:v>
                </c:pt>
              </c:numCache>
            </c:numRef>
          </c:val>
          <c:extLst>
            <c:ext xmlns:c16="http://schemas.microsoft.com/office/drawing/2014/chart" uri="{C3380CC4-5D6E-409C-BE32-E72D297353CC}">
              <c16:uniqueId val="{00000000-A7A3-4775-8F6D-265F98CB6192}"/>
            </c:ext>
          </c:extLst>
        </c:ser>
        <c:ser>
          <c:idx val="1"/>
          <c:order val="1"/>
          <c:tx>
            <c:strRef>
              <c:f>'WIN RATE'!$Y$44</c:f>
              <c:strCache>
                <c:ptCount val="1"/>
                <c:pt idx="0">
                  <c:v>WR GT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RATE'!$Z$44:$AC$44</c:f>
              <c:numCache>
                <c:formatCode>0.00</c:formatCode>
                <c:ptCount val="4"/>
                <c:pt idx="0">
                  <c:v>13.333333333333334</c:v>
                </c:pt>
                <c:pt idx="1">
                  <c:v>0</c:v>
                </c:pt>
                <c:pt idx="2">
                  <c:v>6.666666666666667</c:v>
                </c:pt>
                <c:pt idx="3">
                  <c:v>0</c:v>
                </c:pt>
              </c:numCache>
            </c:numRef>
          </c:val>
          <c:extLst>
            <c:ext xmlns:c16="http://schemas.microsoft.com/office/drawing/2014/chart" uri="{C3380CC4-5D6E-409C-BE32-E72D297353CC}">
              <c16:uniqueId val="{00000001-A7A3-4775-8F6D-265F98CB6192}"/>
            </c:ext>
          </c:extLst>
        </c:ser>
        <c:ser>
          <c:idx val="2"/>
          <c:order val="2"/>
          <c:tx>
            <c:strRef>
              <c:f>'WIN RATE'!$Y$45</c:f>
              <c:strCache>
                <c:ptCount val="1"/>
                <c:pt idx="0">
                  <c:v>WR Tie (%)</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'WIN RATE'!$Z$45:$AC$45</c:f>
              <c:numCache>
                <c:formatCode>0.00</c:formatCode>
                <c:ptCount val="4"/>
                <c:pt idx="0">
                  <c:v>0</c:v>
                </c:pt>
                <c:pt idx="1">
                  <c:v>26.666666666666668</c:v>
                </c:pt>
                <c:pt idx="2">
                  <c:v>20</c:v>
                </c:pt>
                <c:pt idx="3">
                  <c:v>26.666666666666668</c:v>
                </c:pt>
              </c:numCache>
            </c:numRef>
          </c:val>
          <c:extLst>
            <c:ext xmlns:c16="http://schemas.microsoft.com/office/drawing/2014/chart" uri="{C3380CC4-5D6E-409C-BE32-E72D297353CC}">
              <c16:uniqueId val="{00000002-A7A3-4775-8F6D-265F98CB6192}"/>
            </c:ext>
          </c:extLst>
        </c:ser>
        <c:dLbls>
          <c:showLegendKey val="0"/>
          <c:showVal val="0"/>
          <c:showCatName val="0"/>
          <c:showSerName val="0"/>
          <c:showPercent val="0"/>
          <c:showBubbleSize val="0"/>
        </c:dLbls>
        <c:gapWidth val="150"/>
        <c:shape val="box"/>
        <c:axId val="1938361504"/>
        <c:axId val="1938367264"/>
        <c:axId val="0"/>
      </c:bar3DChart>
      <c:catAx>
        <c:axId val="1938361504"/>
        <c:scaling>
          <c:orientation val="minMax"/>
        </c:scaling>
        <c:delete val="0"/>
        <c:axPos val="l"/>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938367264"/>
        <c:crosses val="autoZero"/>
        <c:auto val="1"/>
        <c:lblAlgn val="ctr"/>
        <c:lblOffset val="100"/>
        <c:noMultiLvlLbl val="0"/>
      </c:catAx>
      <c:valAx>
        <c:axId val="1938367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93836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580572</xdr:colOff>
      <xdr:row>1</xdr:row>
      <xdr:rowOff>0</xdr:rowOff>
    </xdr:from>
    <xdr:to>
      <xdr:col>30</xdr:col>
      <xdr:colOff>36286</xdr:colOff>
      <xdr:row>8</xdr:row>
      <xdr:rowOff>18143</xdr:rowOff>
    </xdr:to>
    <xdr:graphicFrame macro="">
      <xdr:nvGraphicFramePr>
        <xdr:cNvPr id="2" name="Chart 1">
          <a:extLst>
            <a:ext uri="{FF2B5EF4-FFF2-40B4-BE49-F238E27FC236}">
              <a16:creationId xmlns:a16="http://schemas.microsoft.com/office/drawing/2014/main" id="{F76A187B-CB72-9C79-325F-072DA18AC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17720</xdr:colOff>
      <xdr:row>1</xdr:row>
      <xdr:rowOff>35442</xdr:rowOff>
    </xdr:from>
    <xdr:to>
      <xdr:col>32</xdr:col>
      <xdr:colOff>496186</xdr:colOff>
      <xdr:row>8</xdr:row>
      <xdr:rowOff>17720</xdr:rowOff>
    </xdr:to>
    <xdr:graphicFrame macro="">
      <xdr:nvGraphicFramePr>
        <xdr:cNvPr id="2" name="Chart 1">
          <a:extLst>
            <a:ext uri="{FF2B5EF4-FFF2-40B4-BE49-F238E27FC236}">
              <a16:creationId xmlns:a16="http://schemas.microsoft.com/office/drawing/2014/main" id="{B4A019C1-3ED5-4C1D-AA68-4701C87F4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6684</xdr:colOff>
      <xdr:row>2</xdr:row>
      <xdr:rowOff>1014662</xdr:rowOff>
    </xdr:from>
    <xdr:to>
      <xdr:col>23</xdr:col>
      <xdr:colOff>601579</xdr:colOff>
      <xdr:row>8</xdr:row>
      <xdr:rowOff>13367</xdr:rowOff>
    </xdr:to>
    <xdr:graphicFrame macro="">
      <xdr:nvGraphicFramePr>
        <xdr:cNvPr id="2" name="Chart 1">
          <a:extLst>
            <a:ext uri="{FF2B5EF4-FFF2-40B4-BE49-F238E27FC236}">
              <a16:creationId xmlns:a16="http://schemas.microsoft.com/office/drawing/2014/main" id="{55E544F5-AD31-49B2-95E5-11259D75D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25</xdr:col>
      <xdr:colOff>605014</xdr:colOff>
      <xdr:row>2</xdr:row>
      <xdr:rowOff>51886</xdr:rowOff>
    </xdr:from>
    <xdr:to>
      <xdr:col>55</xdr:col>
      <xdr:colOff>389650</xdr:colOff>
      <xdr:row>11</xdr:row>
      <xdr:rowOff>45232</xdr:rowOff>
    </xdr:to>
    <xdr:graphicFrame macro="">
      <xdr:nvGraphicFramePr>
        <xdr:cNvPr id="5" name="Chart 4">
          <a:extLst>
            <a:ext uri="{FF2B5EF4-FFF2-40B4-BE49-F238E27FC236}">
              <a16:creationId xmlns:a16="http://schemas.microsoft.com/office/drawing/2014/main" id="{C1A5A6B9-FE5E-8540-DB82-1B6B998FB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30</xdr:col>
      <xdr:colOff>21584</xdr:colOff>
      <xdr:row>1</xdr:row>
      <xdr:rowOff>980968</xdr:rowOff>
    </xdr:from>
    <xdr:to>
      <xdr:col>47</xdr:col>
      <xdr:colOff>584791</xdr:colOff>
      <xdr:row>11</xdr:row>
      <xdr:rowOff>17721</xdr:rowOff>
    </xdr:to>
    <xdr:graphicFrame macro="">
      <xdr:nvGraphicFramePr>
        <xdr:cNvPr id="3" name="Chart 2">
          <a:extLst>
            <a:ext uri="{FF2B5EF4-FFF2-40B4-BE49-F238E27FC236}">
              <a16:creationId xmlns:a16="http://schemas.microsoft.com/office/drawing/2014/main" id="{4677985B-7085-CEB4-45F6-5CC563B9A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584791</xdr:colOff>
      <xdr:row>18</xdr:row>
      <xdr:rowOff>994143</xdr:rowOff>
    </xdr:from>
    <xdr:to>
      <xdr:col>49</xdr:col>
      <xdr:colOff>0</xdr:colOff>
      <xdr:row>27</xdr:row>
      <xdr:rowOff>974650</xdr:rowOff>
    </xdr:to>
    <xdr:graphicFrame macro="">
      <xdr:nvGraphicFramePr>
        <xdr:cNvPr id="4" name="Chart 3">
          <a:extLst>
            <a:ext uri="{FF2B5EF4-FFF2-40B4-BE49-F238E27FC236}">
              <a16:creationId xmlns:a16="http://schemas.microsoft.com/office/drawing/2014/main" id="{553136DF-0EBF-9EDF-D9FD-536D14331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xdr:colOff>
      <xdr:row>36</xdr:row>
      <xdr:rowOff>38100</xdr:rowOff>
    </xdr:from>
    <xdr:to>
      <xdr:col>48</xdr:col>
      <xdr:colOff>587374</xdr:colOff>
      <xdr:row>44</xdr:row>
      <xdr:rowOff>984250</xdr:rowOff>
    </xdr:to>
    <xdr:graphicFrame macro="">
      <xdr:nvGraphicFramePr>
        <xdr:cNvPr id="5" name="Chart 4">
          <a:extLst>
            <a:ext uri="{FF2B5EF4-FFF2-40B4-BE49-F238E27FC236}">
              <a16:creationId xmlns:a16="http://schemas.microsoft.com/office/drawing/2014/main" id="{06206B17-AA99-1A42-BE4E-54C309587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zoomScale="58" workbookViewId="0">
      <selection activeCell="G15" sqref="G15"/>
    </sheetView>
  </sheetViews>
  <sheetFormatPr defaultRowHeight="18" x14ac:dyDescent="0.35"/>
  <cols>
    <col min="1" max="1" width="70" style="3" customWidth="1"/>
    <col min="2" max="2" width="8.88671875" style="3" customWidth="1"/>
    <col min="3" max="16384" width="8.88671875" style="3"/>
  </cols>
  <sheetData>
    <row r="1" spans="1:1" x14ac:dyDescent="0.35">
      <c r="A1" s="1" t="s">
        <v>0</v>
      </c>
    </row>
    <row r="3" spans="1:1" x14ac:dyDescent="0.35">
      <c r="A3" s="2" t="s">
        <v>1</v>
      </c>
    </row>
    <row r="4" spans="1:1" x14ac:dyDescent="0.35">
      <c r="A4" s="3" t="s">
        <v>2</v>
      </c>
    </row>
    <row r="6" spans="1:1" x14ac:dyDescent="0.35">
      <c r="A6" s="2" t="s">
        <v>3</v>
      </c>
    </row>
    <row r="7" spans="1:1" x14ac:dyDescent="0.35">
      <c r="A7" s="3" t="s">
        <v>4</v>
      </c>
    </row>
    <row r="8" spans="1:1" x14ac:dyDescent="0.35">
      <c r="A8" s="3" t="s">
        <v>5</v>
      </c>
    </row>
    <row r="9" spans="1:1" x14ac:dyDescent="0.35">
      <c r="A9" s="3" t="s">
        <v>6</v>
      </c>
    </row>
    <row r="11" spans="1:1" x14ac:dyDescent="0.35">
      <c r="A11" s="2" t="s">
        <v>7</v>
      </c>
    </row>
    <row r="12" spans="1:1" x14ac:dyDescent="0.35">
      <c r="A12" s="3" t="s">
        <v>8</v>
      </c>
    </row>
    <row r="13" spans="1:1" x14ac:dyDescent="0.35">
      <c r="A13" s="3" t="s">
        <v>9</v>
      </c>
    </row>
    <row r="14" spans="1:1" x14ac:dyDescent="0.35">
      <c r="A14" s="3" t="s">
        <v>10</v>
      </c>
    </row>
    <row r="16" spans="1:1" x14ac:dyDescent="0.35">
      <c r="A16" s="2" t="s">
        <v>11</v>
      </c>
    </row>
    <row r="17" spans="1:1" x14ac:dyDescent="0.35">
      <c r="A17" s="3" t="s">
        <v>12</v>
      </c>
    </row>
    <row r="18" spans="1:1" x14ac:dyDescent="0.35">
      <c r="A18" s="3" t="s">
        <v>13</v>
      </c>
    </row>
    <row r="19" spans="1:1" x14ac:dyDescent="0.35">
      <c r="A19" s="3" t="s">
        <v>14</v>
      </c>
    </row>
    <row r="22" spans="1:1" x14ac:dyDescent="0.35">
      <c r="A22" s="4"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zoomScale="42" zoomScaleNormal="85" workbookViewId="0">
      <selection activeCell="C42" sqref="C42:E61"/>
    </sheetView>
  </sheetViews>
  <sheetFormatPr defaultRowHeight="25.8" x14ac:dyDescent="0.5"/>
  <cols>
    <col min="1" max="1" width="8.6640625" style="8" customWidth="1"/>
    <col min="2" max="2" width="38.5546875" style="6" customWidth="1"/>
    <col min="3" max="3" width="47.77734375" style="6" customWidth="1"/>
    <col min="4" max="4" width="45.21875" style="6" customWidth="1"/>
    <col min="5" max="5" width="30.21875" style="8" customWidth="1"/>
    <col min="6" max="6" width="8.88671875" style="6" customWidth="1"/>
    <col min="7" max="7" width="8.88671875" style="6"/>
    <col min="8" max="8" width="17.21875" style="6" customWidth="1"/>
    <col min="9" max="9" width="26.77734375" style="6" customWidth="1"/>
    <col min="10" max="16384" width="8.88671875" style="6"/>
  </cols>
  <sheetData>
    <row r="1" spans="1:9" ht="19.95" customHeight="1" x14ac:dyDescent="0.5">
      <c r="A1" s="5" t="s">
        <v>16</v>
      </c>
      <c r="B1" s="5" t="s">
        <v>17</v>
      </c>
      <c r="C1" s="5" t="s">
        <v>18</v>
      </c>
      <c r="D1" s="5" t="s">
        <v>19</v>
      </c>
      <c r="E1" s="5" t="s">
        <v>20</v>
      </c>
    </row>
    <row r="2" spans="1:9" ht="79.95" customHeight="1" x14ac:dyDescent="0.5">
      <c r="A2" s="16">
        <v>1</v>
      </c>
      <c r="B2" s="17" t="s">
        <v>21</v>
      </c>
      <c r="C2" s="17" t="s">
        <v>68</v>
      </c>
      <c r="D2" s="17" t="s">
        <v>23</v>
      </c>
      <c r="E2" s="16" t="s">
        <v>24</v>
      </c>
      <c r="H2" s="76" t="s">
        <v>39</v>
      </c>
      <c r="I2" s="76"/>
    </row>
    <row r="3" spans="1:9" ht="79.8" customHeight="1" x14ac:dyDescent="0.5">
      <c r="A3" s="18">
        <v>2</v>
      </c>
      <c r="B3" s="19" t="s">
        <v>25</v>
      </c>
      <c r="C3" s="19" t="s">
        <v>36</v>
      </c>
      <c r="D3" s="19" t="s">
        <v>26</v>
      </c>
      <c r="E3" s="18" t="s">
        <v>24</v>
      </c>
    </row>
    <row r="4" spans="1:9" ht="79.95" customHeight="1" x14ac:dyDescent="0.5">
      <c r="A4" s="18">
        <v>3</v>
      </c>
      <c r="B4" s="19" t="s">
        <v>27</v>
      </c>
      <c r="C4" s="19" t="s">
        <v>69</v>
      </c>
      <c r="D4" s="19" t="s">
        <v>28</v>
      </c>
      <c r="E4" s="18" t="s">
        <v>24</v>
      </c>
      <c r="H4" s="9" t="s">
        <v>40</v>
      </c>
      <c r="I4" s="9" t="s">
        <v>41</v>
      </c>
    </row>
    <row r="5" spans="1:9" ht="79.95" customHeight="1" x14ac:dyDescent="0.5">
      <c r="A5" s="18">
        <v>4</v>
      </c>
      <c r="B5" s="19" t="s">
        <v>30</v>
      </c>
      <c r="C5" s="19" t="s">
        <v>70</v>
      </c>
      <c r="D5" s="19" t="s">
        <v>31</v>
      </c>
      <c r="E5" s="18" t="s">
        <v>24</v>
      </c>
      <c r="H5" s="10" t="s">
        <v>24</v>
      </c>
      <c r="I5" s="11">
        <f>COUNTIF(E2:E61, "A")</f>
        <v>39</v>
      </c>
    </row>
    <row r="6" spans="1:9" ht="79.95" customHeight="1" x14ac:dyDescent="0.5">
      <c r="A6" s="18">
        <v>5</v>
      </c>
      <c r="B6" s="19" t="s">
        <v>32</v>
      </c>
      <c r="C6" s="19" t="s">
        <v>38</v>
      </c>
      <c r="D6" s="19" t="s">
        <v>33</v>
      </c>
      <c r="E6" s="18" t="s">
        <v>24</v>
      </c>
      <c r="H6" s="12" t="s">
        <v>29</v>
      </c>
      <c r="I6" s="11">
        <f>COUNTIF(E2:E61, "B")</f>
        <v>19</v>
      </c>
    </row>
    <row r="7" spans="1:9" ht="79.95" customHeight="1" x14ac:dyDescent="0.5">
      <c r="A7" s="16">
        <v>6</v>
      </c>
      <c r="B7" s="17" t="s">
        <v>21</v>
      </c>
      <c r="C7" s="17" t="s">
        <v>71</v>
      </c>
      <c r="D7" s="17" t="s">
        <v>23</v>
      </c>
      <c r="E7" s="16" t="s">
        <v>29</v>
      </c>
      <c r="H7" s="63" t="s">
        <v>34</v>
      </c>
      <c r="I7" s="11">
        <f>COUNTIF(E2:E61, "Tie")</f>
        <v>2</v>
      </c>
    </row>
    <row r="8" spans="1:9" ht="79.95" customHeight="1" x14ac:dyDescent="0.5">
      <c r="A8" s="18">
        <v>7</v>
      </c>
      <c r="B8" s="19" t="s">
        <v>25</v>
      </c>
      <c r="C8" s="19" t="s">
        <v>72</v>
      </c>
      <c r="D8" s="19" t="s">
        <v>26</v>
      </c>
      <c r="E8" s="18" t="s">
        <v>24</v>
      </c>
      <c r="H8" s="14" t="s">
        <v>42</v>
      </c>
      <c r="I8" s="15">
        <f>SUM(I5:I7)</f>
        <v>60</v>
      </c>
    </row>
    <row r="9" spans="1:9" ht="79.95" customHeight="1" x14ac:dyDescent="0.5">
      <c r="A9" s="18">
        <v>8</v>
      </c>
      <c r="B9" s="19" t="s">
        <v>27</v>
      </c>
      <c r="C9" s="19" t="s">
        <v>73</v>
      </c>
      <c r="D9" s="19" t="s">
        <v>28</v>
      </c>
      <c r="E9" s="18" t="s">
        <v>29</v>
      </c>
    </row>
    <row r="10" spans="1:9" ht="79.95" customHeight="1" x14ac:dyDescent="0.5">
      <c r="A10" s="18">
        <v>9</v>
      </c>
      <c r="B10" s="19" t="s">
        <v>30</v>
      </c>
      <c r="C10" s="19" t="s">
        <v>74</v>
      </c>
      <c r="D10" s="19" t="s">
        <v>31</v>
      </c>
      <c r="E10" s="18" t="s">
        <v>29</v>
      </c>
    </row>
    <row r="11" spans="1:9" ht="79.95" customHeight="1" x14ac:dyDescent="0.5">
      <c r="A11" s="18">
        <v>10</v>
      </c>
      <c r="B11" s="19" t="s">
        <v>32</v>
      </c>
      <c r="C11" s="19" t="s">
        <v>75</v>
      </c>
      <c r="D11" s="19" t="s">
        <v>33</v>
      </c>
      <c r="E11" s="18" t="s">
        <v>24</v>
      </c>
    </row>
    <row r="12" spans="1:9" ht="79.95" customHeight="1" x14ac:dyDescent="0.5">
      <c r="A12" s="16">
        <v>11</v>
      </c>
      <c r="B12" s="17" t="s">
        <v>21</v>
      </c>
      <c r="C12" s="17" t="s">
        <v>22</v>
      </c>
      <c r="D12" s="17" t="s">
        <v>23</v>
      </c>
      <c r="E12" s="16" t="s">
        <v>24</v>
      </c>
    </row>
    <row r="13" spans="1:9" ht="79.95" customHeight="1" x14ac:dyDescent="0.5">
      <c r="A13" s="18">
        <v>12</v>
      </c>
      <c r="B13" s="19" t="s">
        <v>25</v>
      </c>
      <c r="C13" s="19" t="s">
        <v>76</v>
      </c>
      <c r="D13" s="19" t="s">
        <v>26</v>
      </c>
      <c r="E13" s="18" t="s">
        <v>29</v>
      </c>
    </row>
    <row r="14" spans="1:9" ht="79.95" customHeight="1" x14ac:dyDescent="0.5">
      <c r="A14" s="18">
        <v>13</v>
      </c>
      <c r="B14" s="19" t="s">
        <v>27</v>
      </c>
      <c r="C14" s="19" t="s">
        <v>77</v>
      </c>
      <c r="D14" s="19" t="s">
        <v>28</v>
      </c>
      <c r="E14" s="18" t="s">
        <v>29</v>
      </c>
    </row>
    <row r="15" spans="1:9" ht="79.95" customHeight="1" x14ac:dyDescent="0.5">
      <c r="A15" s="18">
        <v>14</v>
      </c>
      <c r="B15" s="19" t="s">
        <v>30</v>
      </c>
      <c r="C15" s="19" t="s">
        <v>77</v>
      </c>
      <c r="D15" s="19" t="s">
        <v>31</v>
      </c>
      <c r="E15" s="18" t="s">
        <v>29</v>
      </c>
    </row>
    <row r="16" spans="1:9" ht="79.95" customHeight="1" x14ac:dyDescent="0.5">
      <c r="A16" s="18">
        <v>15</v>
      </c>
      <c r="B16" s="19" t="s">
        <v>32</v>
      </c>
      <c r="C16" s="19" t="s">
        <v>76</v>
      </c>
      <c r="D16" s="19" t="s">
        <v>33</v>
      </c>
      <c r="E16" s="18" t="s">
        <v>29</v>
      </c>
    </row>
    <row r="17" spans="1:5" ht="79.95" customHeight="1" x14ac:dyDescent="0.5">
      <c r="A17" s="16">
        <v>16</v>
      </c>
      <c r="B17" s="17" t="s">
        <v>21</v>
      </c>
      <c r="C17" s="17" t="s">
        <v>71</v>
      </c>
      <c r="D17" s="17" t="s">
        <v>23</v>
      </c>
      <c r="E17" s="16" t="s">
        <v>29</v>
      </c>
    </row>
    <row r="18" spans="1:5" ht="79.95" customHeight="1" x14ac:dyDescent="0.5">
      <c r="A18" s="18">
        <v>17</v>
      </c>
      <c r="B18" s="19" t="s">
        <v>25</v>
      </c>
      <c r="C18" s="19" t="s">
        <v>78</v>
      </c>
      <c r="D18" s="19" t="s">
        <v>26</v>
      </c>
      <c r="E18" s="18" t="s">
        <v>29</v>
      </c>
    </row>
    <row r="19" spans="1:5" ht="79.95" customHeight="1" x14ac:dyDescent="0.5">
      <c r="A19" s="18">
        <v>18</v>
      </c>
      <c r="B19" s="19" t="s">
        <v>27</v>
      </c>
      <c r="C19" s="19" t="s">
        <v>79</v>
      </c>
      <c r="D19" s="19" t="s">
        <v>28</v>
      </c>
      <c r="E19" s="18" t="s">
        <v>29</v>
      </c>
    </row>
    <row r="20" spans="1:5" ht="79.95" customHeight="1" x14ac:dyDescent="0.5">
      <c r="A20" s="18">
        <v>19</v>
      </c>
      <c r="B20" s="19" t="s">
        <v>30</v>
      </c>
      <c r="C20" s="19" t="s">
        <v>74</v>
      </c>
      <c r="D20" s="19" t="s">
        <v>31</v>
      </c>
      <c r="E20" s="18" t="s">
        <v>29</v>
      </c>
    </row>
    <row r="21" spans="1:5" ht="79.95" customHeight="1" x14ac:dyDescent="0.5">
      <c r="A21" s="18">
        <v>20</v>
      </c>
      <c r="B21" s="19" t="s">
        <v>32</v>
      </c>
      <c r="C21" s="19" t="s">
        <v>80</v>
      </c>
      <c r="D21" s="19" t="s">
        <v>33</v>
      </c>
      <c r="E21" s="18" t="s">
        <v>29</v>
      </c>
    </row>
    <row r="22" spans="1:5" ht="79.95" customHeight="1" x14ac:dyDescent="0.5">
      <c r="A22" s="16">
        <v>21</v>
      </c>
      <c r="B22" s="17" t="s">
        <v>21</v>
      </c>
      <c r="C22" s="17" t="s">
        <v>22</v>
      </c>
      <c r="D22" s="17" t="s">
        <v>23</v>
      </c>
      <c r="E22" s="16" t="s">
        <v>24</v>
      </c>
    </row>
    <row r="23" spans="1:5" ht="79.95" customHeight="1" x14ac:dyDescent="0.5">
      <c r="A23" s="61">
        <v>22</v>
      </c>
      <c r="B23" s="62" t="s">
        <v>25</v>
      </c>
      <c r="C23" s="62" t="s">
        <v>81</v>
      </c>
      <c r="D23" s="62" t="s">
        <v>26</v>
      </c>
      <c r="E23" s="61" t="s">
        <v>24</v>
      </c>
    </row>
    <row r="24" spans="1:5" ht="79.95" customHeight="1" x14ac:dyDescent="0.5">
      <c r="A24" s="61">
        <v>23</v>
      </c>
      <c r="B24" s="62" t="s">
        <v>27</v>
      </c>
      <c r="C24" s="62" t="s">
        <v>37</v>
      </c>
      <c r="D24" s="62" t="s">
        <v>28</v>
      </c>
      <c r="E24" s="61" t="s">
        <v>24</v>
      </c>
    </row>
    <row r="25" spans="1:5" ht="79.95" customHeight="1" x14ac:dyDescent="0.5">
      <c r="A25" s="61">
        <v>24</v>
      </c>
      <c r="B25" s="62" t="s">
        <v>30</v>
      </c>
      <c r="C25" s="62" t="s">
        <v>82</v>
      </c>
      <c r="D25" s="62" t="s">
        <v>31</v>
      </c>
      <c r="E25" s="61" t="s">
        <v>29</v>
      </c>
    </row>
    <row r="26" spans="1:5" ht="79.95" customHeight="1" x14ac:dyDescent="0.5">
      <c r="A26" s="61">
        <v>25</v>
      </c>
      <c r="B26" s="62" t="s">
        <v>32</v>
      </c>
      <c r="C26" s="62" t="s">
        <v>83</v>
      </c>
      <c r="D26" s="62" t="s">
        <v>33</v>
      </c>
      <c r="E26" s="61" t="s">
        <v>24</v>
      </c>
    </row>
    <row r="27" spans="1:5" ht="79.95" customHeight="1" x14ac:dyDescent="0.5">
      <c r="A27" s="16">
        <v>26</v>
      </c>
      <c r="B27" s="17" t="s">
        <v>21</v>
      </c>
      <c r="C27" s="17" t="s">
        <v>84</v>
      </c>
      <c r="D27" s="17" t="s">
        <v>23</v>
      </c>
      <c r="E27" s="16" t="s">
        <v>29</v>
      </c>
    </row>
    <row r="28" spans="1:5" ht="79.95" customHeight="1" x14ac:dyDescent="0.5">
      <c r="A28" s="61">
        <v>27</v>
      </c>
      <c r="B28" s="62" t="s">
        <v>25</v>
      </c>
      <c r="C28" s="62" t="s">
        <v>85</v>
      </c>
      <c r="D28" s="62" t="s">
        <v>26</v>
      </c>
      <c r="E28" s="61" t="s">
        <v>24</v>
      </c>
    </row>
    <row r="29" spans="1:5" ht="79.95" customHeight="1" x14ac:dyDescent="0.5">
      <c r="A29" s="61">
        <v>28</v>
      </c>
      <c r="B29" s="62" t="s">
        <v>27</v>
      </c>
      <c r="C29" s="62" t="s">
        <v>37</v>
      </c>
      <c r="D29" s="62" t="s">
        <v>28</v>
      </c>
      <c r="E29" s="61" t="s">
        <v>24</v>
      </c>
    </row>
    <row r="30" spans="1:5" ht="79.95" customHeight="1" x14ac:dyDescent="0.5">
      <c r="A30" s="61">
        <v>29</v>
      </c>
      <c r="B30" s="62" t="s">
        <v>30</v>
      </c>
      <c r="C30" s="62" t="s">
        <v>86</v>
      </c>
      <c r="D30" s="62" t="s">
        <v>31</v>
      </c>
      <c r="E30" s="61" t="s">
        <v>29</v>
      </c>
    </row>
    <row r="31" spans="1:5" ht="79.95" customHeight="1" x14ac:dyDescent="0.5">
      <c r="A31" s="61">
        <v>30</v>
      </c>
      <c r="B31" s="62" t="s">
        <v>32</v>
      </c>
      <c r="C31" s="62" t="s">
        <v>87</v>
      </c>
      <c r="D31" s="62" t="s">
        <v>33</v>
      </c>
      <c r="E31" s="61" t="s">
        <v>24</v>
      </c>
    </row>
    <row r="32" spans="1:5" ht="79.95" customHeight="1" x14ac:dyDescent="0.5">
      <c r="A32" s="16">
        <v>31</v>
      </c>
      <c r="B32" s="17" t="s">
        <v>21</v>
      </c>
      <c r="C32" s="17" t="s">
        <v>88</v>
      </c>
      <c r="D32" s="17" t="s">
        <v>23</v>
      </c>
      <c r="E32" s="16" t="s">
        <v>29</v>
      </c>
    </row>
    <row r="33" spans="1:5" ht="79.95" customHeight="1" x14ac:dyDescent="0.5">
      <c r="A33" s="61">
        <v>32</v>
      </c>
      <c r="B33" s="62" t="s">
        <v>25</v>
      </c>
      <c r="C33" s="62" t="s">
        <v>89</v>
      </c>
      <c r="D33" s="62" t="s">
        <v>26</v>
      </c>
      <c r="E33" s="61" t="s">
        <v>24</v>
      </c>
    </row>
    <row r="34" spans="1:5" ht="79.95" customHeight="1" x14ac:dyDescent="0.5">
      <c r="A34" s="61">
        <v>33</v>
      </c>
      <c r="B34" s="62" t="s">
        <v>27</v>
      </c>
      <c r="C34" s="62" t="s">
        <v>37</v>
      </c>
      <c r="D34" s="62" t="s">
        <v>28</v>
      </c>
      <c r="E34" s="61" t="s">
        <v>24</v>
      </c>
    </row>
    <row r="35" spans="1:5" ht="79.95" customHeight="1" x14ac:dyDescent="0.5">
      <c r="A35" s="61">
        <v>34</v>
      </c>
      <c r="B35" s="62" t="s">
        <v>30</v>
      </c>
      <c r="C35" s="62" t="s">
        <v>90</v>
      </c>
      <c r="D35" s="62" t="s">
        <v>31</v>
      </c>
      <c r="E35" s="61" t="s">
        <v>29</v>
      </c>
    </row>
    <row r="36" spans="1:5" ht="79.95" customHeight="1" x14ac:dyDescent="0.5">
      <c r="A36" s="61">
        <v>35</v>
      </c>
      <c r="B36" s="62" t="s">
        <v>32</v>
      </c>
      <c r="C36" s="62" t="s">
        <v>91</v>
      </c>
      <c r="D36" s="62" t="s">
        <v>33</v>
      </c>
      <c r="E36" s="61" t="s">
        <v>24</v>
      </c>
    </row>
    <row r="37" spans="1:5" ht="79.95" customHeight="1" x14ac:dyDescent="0.5">
      <c r="A37" s="16">
        <v>36</v>
      </c>
      <c r="B37" s="17" t="s">
        <v>21</v>
      </c>
      <c r="C37" s="17" t="s">
        <v>92</v>
      </c>
      <c r="D37" s="17" t="s">
        <v>23</v>
      </c>
      <c r="E37" s="16" t="s">
        <v>29</v>
      </c>
    </row>
    <row r="38" spans="1:5" ht="79.95" customHeight="1" x14ac:dyDescent="0.5">
      <c r="A38" s="61">
        <v>37</v>
      </c>
      <c r="B38" s="62" t="s">
        <v>25</v>
      </c>
      <c r="C38" s="62" t="s">
        <v>85</v>
      </c>
      <c r="D38" s="62" t="s">
        <v>26</v>
      </c>
      <c r="E38" s="61" t="s">
        <v>24</v>
      </c>
    </row>
    <row r="39" spans="1:5" ht="79.95" customHeight="1" x14ac:dyDescent="0.5">
      <c r="A39" s="61">
        <v>38</v>
      </c>
      <c r="B39" s="62" t="s">
        <v>27</v>
      </c>
      <c r="C39" s="62" t="s">
        <v>37</v>
      </c>
      <c r="D39" s="62" t="s">
        <v>28</v>
      </c>
      <c r="E39" s="61" t="s">
        <v>24</v>
      </c>
    </row>
    <row r="40" spans="1:5" ht="79.95" customHeight="1" x14ac:dyDescent="0.5">
      <c r="A40" s="61">
        <v>39</v>
      </c>
      <c r="B40" s="62" t="s">
        <v>30</v>
      </c>
      <c r="C40" s="62" t="s">
        <v>86</v>
      </c>
      <c r="D40" s="62" t="s">
        <v>31</v>
      </c>
      <c r="E40" s="61" t="s">
        <v>29</v>
      </c>
    </row>
    <row r="41" spans="1:5" ht="79.95" customHeight="1" x14ac:dyDescent="0.5">
      <c r="A41" s="61">
        <v>40</v>
      </c>
      <c r="B41" s="62" t="s">
        <v>32</v>
      </c>
      <c r="C41" s="62" t="s">
        <v>87</v>
      </c>
      <c r="D41" s="62" t="s">
        <v>33</v>
      </c>
      <c r="E41" s="61" t="s">
        <v>24</v>
      </c>
    </row>
    <row r="42" spans="1:5" ht="79.95" customHeight="1" x14ac:dyDescent="0.5">
      <c r="A42" s="16">
        <v>41</v>
      </c>
      <c r="B42" s="17" t="s">
        <v>21</v>
      </c>
      <c r="C42" s="17" t="s">
        <v>22</v>
      </c>
      <c r="D42" s="17" t="s">
        <v>23</v>
      </c>
      <c r="E42" s="16" t="s">
        <v>24</v>
      </c>
    </row>
    <row r="43" spans="1:5" ht="79.95" customHeight="1" x14ac:dyDescent="0.5">
      <c r="A43" s="20">
        <v>42</v>
      </c>
      <c r="B43" s="21" t="s">
        <v>25</v>
      </c>
      <c r="C43" s="21" t="s">
        <v>93</v>
      </c>
      <c r="D43" s="21" t="s">
        <v>26</v>
      </c>
      <c r="E43" s="20" t="s">
        <v>24</v>
      </c>
    </row>
    <row r="44" spans="1:5" ht="79.95" customHeight="1" x14ac:dyDescent="0.5">
      <c r="A44" s="20">
        <v>43</v>
      </c>
      <c r="B44" s="21" t="s">
        <v>27</v>
      </c>
      <c r="C44" s="21" t="s">
        <v>37</v>
      </c>
      <c r="D44" s="21" t="s">
        <v>28</v>
      </c>
      <c r="E44" s="20" t="s">
        <v>24</v>
      </c>
    </row>
    <row r="45" spans="1:5" ht="79.95" customHeight="1" x14ac:dyDescent="0.5">
      <c r="A45" s="20">
        <v>44</v>
      </c>
      <c r="B45" s="21" t="s">
        <v>30</v>
      </c>
      <c r="C45" s="21" t="s">
        <v>35</v>
      </c>
      <c r="D45" s="21" t="s">
        <v>31</v>
      </c>
      <c r="E45" s="20" t="s">
        <v>24</v>
      </c>
    </row>
    <row r="46" spans="1:5" ht="79.95" customHeight="1" x14ac:dyDescent="0.5">
      <c r="A46" s="20">
        <v>45</v>
      </c>
      <c r="B46" s="21" t="s">
        <v>32</v>
      </c>
      <c r="C46" s="21" t="s">
        <v>94</v>
      </c>
      <c r="D46" s="21" t="s">
        <v>33</v>
      </c>
      <c r="E46" s="20" t="s">
        <v>24</v>
      </c>
    </row>
    <row r="47" spans="1:5" ht="79.95" customHeight="1" x14ac:dyDescent="0.5">
      <c r="A47" s="16">
        <v>46</v>
      </c>
      <c r="B47" s="17" t="s">
        <v>21</v>
      </c>
      <c r="C47" s="17" t="s">
        <v>22</v>
      </c>
      <c r="D47" s="17" t="s">
        <v>23</v>
      </c>
      <c r="E47" s="16" t="s">
        <v>24</v>
      </c>
    </row>
    <row r="48" spans="1:5" ht="79.95" customHeight="1" x14ac:dyDescent="0.5">
      <c r="A48" s="20">
        <v>47</v>
      </c>
      <c r="B48" s="21" t="s">
        <v>25</v>
      </c>
      <c r="C48" s="21" t="s">
        <v>95</v>
      </c>
      <c r="D48" s="21" t="s">
        <v>26</v>
      </c>
      <c r="E48" s="20" t="s">
        <v>24</v>
      </c>
    </row>
    <row r="49" spans="1:5" ht="79.95" customHeight="1" x14ac:dyDescent="0.5">
      <c r="A49" s="20">
        <v>48</v>
      </c>
      <c r="B49" s="21" t="s">
        <v>27</v>
      </c>
      <c r="C49" s="21" t="s">
        <v>37</v>
      </c>
      <c r="D49" s="21" t="s">
        <v>28</v>
      </c>
      <c r="E49" s="20" t="s">
        <v>24</v>
      </c>
    </row>
    <row r="50" spans="1:5" ht="79.95" customHeight="1" x14ac:dyDescent="0.5">
      <c r="A50" s="20">
        <v>49</v>
      </c>
      <c r="B50" s="21" t="s">
        <v>30</v>
      </c>
      <c r="C50" s="21" t="s">
        <v>31</v>
      </c>
      <c r="D50" s="21" t="s">
        <v>31</v>
      </c>
      <c r="E50" s="20" t="s">
        <v>34</v>
      </c>
    </row>
    <row r="51" spans="1:5" ht="79.95" customHeight="1" x14ac:dyDescent="0.5">
      <c r="A51" s="20">
        <v>50</v>
      </c>
      <c r="B51" s="21" t="s">
        <v>32</v>
      </c>
      <c r="C51" s="21" t="s">
        <v>87</v>
      </c>
      <c r="D51" s="21" t="s">
        <v>33</v>
      </c>
      <c r="E51" s="20" t="s">
        <v>24</v>
      </c>
    </row>
    <row r="52" spans="1:5" ht="79.95" customHeight="1" x14ac:dyDescent="0.5">
      <c r="A52" s="16">
        <v>51</v>
      </c>
      <c r="B52" s="17" t="s">
        <v>21</v>
      </c>
      <c r="C52" s="17" t="s">
        <v>96</v>
      </c>
      <c r="D52" s="17" t="s">
        <v>23</v>
      </c>
      <c r="E52" s="16" t="s">
        <v>24</v>
      </c>
    </row>
    <row r="53" spans="1:5" ht="79.95" customHeight="1" x14ac:dyDescent="0.5">
      <c r="A53" s="20">
        <v>52</v>
      </c>
      <c r="B53" s="21" t="s">
        <v>25</v>
      </c>
      <c r="C53" s="21" t="s">
        <v>97</v>
      </c>
      <c r="D53" s="21" t="s">
        <v>26</v>
      </c>
      <c r="E53" s="20" t="s">
        <v>24</v>
      </c>
    </row>
    <row r="54" spans="1:5" ht="79.95" customHeight="1" x14ac:dyDescent="0.5">
      <c r="A54" s="20">
        <v>53</v>
      </c>
      <c r="B54" s="21" t="s">
        <v>27</v>
      </c>
      <c r="C54" s="21" t="s">
        <v>37</v>
      </c>
      <c r="D54" s="21" t="s">
        <v>28</v>
      </c>
      <c r="E54" s="20" t="s">
        <v>24</v>
      </c>
    </row>
    <row r="55" spans="1:5" ht="79.95" customHeight="1" x14ac:dyDescent="0.5">
      <c r="A55" s="20">
        <v>54</v>
      </c>
      <c r="B55" s="21" t="s">
        <v>30</v>
      </c>
      <c r="C55" s="21" t="s">
        <v>35</v>
      </c>
      <c r="D55" s="21" t="s">
        <v>31</v>
      </c>
      <c r="E55" s="20" t="s">
        <v>24</v>
      </c>
    </row>
    <row r="56" spans="1:5" ht="79.95" customHeight="1" x14ac:dyDescent="0.5">
      <c r="A56" s="20">
        <v>55</v>
      </c>
      <c r="B56" s="21" t="s">
        <v>32</v>
      </c>
      <c r="C56" s="21" t="s">
        <v>87</v>
      </c>
      <c r="D56" s="21" t="s">
        <v>33</v>
      </c>
      <c r="E56" s="20" t="s">
        <v>24</v>
      </c>
    </row>
    <row r="57" spans="1:5" ht="79.95" customHeight="1" x14ac:dyDescent="0.5">
      <c r="A57" s="16">
        <v>56</v>
      </c>
      <c r="B57" s="17" t="s">
        <v>21</v>
      </c>
      <c r="C57" s="17" t="s">
        <v>22</v>
      </c>
      <c r="D57" s="17" t="s">
        <v>23</v>
      </c>
      <c r="E57" s="16" t="s">
        <v>24</v>
      </c>
    </row>
    <row r="58" spans="1:5" ht="79.95" customHeight="1" x14ac:dyDescent="0.5">
      <c r="A58" s="20">
        <v>57</v>
      </c>
      <c r="B58" s="21" t="s">
        <v>25</v>
      </c>
      <c r="C58" s="21" t="s">
        <v>95</v>
      </c>
      <c r="D58" s="21" t="s">
        <v>26</v>
      </c>
      <c r="E58" s="20" t="s">
        <v>24</v>
      </c>
    </row>
    <row r="59" spans="1:5" ht="79.95" customHeight="1" x14ac:dyDescent="0.5">
      <c r="A59" s="20">
        <v>58</v>
      </c>
      <c r="B59" s="21" t="s">
        <v>27</v>
      </c>
      <c r="C59" s="21" t="s">
        <v>37</v>
      </c>
      <c r="D59" s="21" t="s">
        <v>28</v>
      </c>
      <c r="E59" s="20" t="s">
        <v>24</v>
      </c>
    </row>
    <row r="60" spans="1:5" ht="79.95" customHeight="1" x14ac:dyDescent="0.5">
      <c r="A60" s="20">
        <v>59</v>
      </c>
      <c r="B60" s="21" t="s">
        <v>30</v>
      </c>
      <c r="C60" s="21" t="s">
        <v>31</v>
      </c>
      <c r="D60" s="21" t="s">
        <v>31</v>
      </c>
      <c r="E60" s="20" t="s">
        <v>34</v>
      </c>
    </row>
    <row r="61" spans="1:5" ht="79.95" customHeight="1" x14ac:dyDescent="0.5">
      <c r="A61" s="20">
        <v>60</v>
      </c>
      <c r="B61" s="21" t="s">
        <v>32</v>
      </c>
      <c r="C61" s="21" t="s">
        <v>87</v>
      </c>
      <c r="D61" s="21" t="s">
        <v>33</v>
      </c>
      <c r="E61" s="20" t="s">
        <v>24</v>
      </c>
    </row>
  </sheetData>
  <autoFilter ref="B1:B61" xr:uid="{00000000-0001-0000-0100-000000000000}"/>
  <mergeCells count="1">
    <mergeCell ref="H2:I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F820-6243-43B8-8014-CC033E78D439}">
  <dimension ref="A1:I61"/>
  <sheetViews>
    <sheetView zoomScale="34" zoomScaleNormal="100" workbookViewId="0">
      <selection activeCell="C42" sqref="C42:E61"/>
    </sheetView>
  </sheetViews>
  <sheetFormatPr defaultRowHeight="25.8" x14ac:dyDescent="0.5"/>
  <cols>
    <col min="1" max="1" width="8.6640625" style="8" customWidth="1"/>
    <col min="2" max="2" width="38.5546875" style="6" customWidth="1"/>
    <col min="3" max="3" width="47.77734375" style="6" customWidth="1"/>
    <col min="4" max="4" width="45.21875" style="6" customWidth="1"/>
    <col min="5" max="5" width="30.21875" style="8" customWidth="1"/>
    <col min="6" max="6" width="8.88671875" style="6" customWidth="1"/>
    <col min="7" max="7" width="8.88671875" style="6"/>
    <col min="8" max="8" width="17.21875" style="6" customWidth="1"/>
    <col min="9" max="9" width="26.77734375" style="6" customWidth="1"/>
    <col min="10" max="16384" width="8.88671875" style="6"/>
  </cols>
  <sheetData>
    <row r="1" spans="1:9" ht="19.95" customHeight="1" x14ac:dyDescent="0.5">
      <c r="A1" s="5" t="s">
        <v>16</v>
      </c>
      <c r="B1" s="5" t="s">
        <v>17</v>
      </c>
      <c r="C1" s="5" t="s">
        <v>18</v>
      </c>
      <c r="D1" s="5" t="s">
        <v>19</v>
      </c>
      <c r="E1" s="5" t="s">
        <v>20</v>
      </c>
    </row>
    <row r="2" spans="1:9" ht="79.95" customHeight="1" x14ac:dyDescent="0.5">
      <c r="A2" s="16">
        <v>1</v>
      </c>
      <c r="B2" s="17" t="s">
        <v>21</v>
      </c>
      <c r="C2" s="17" t="s">
        <v>68</v>
      </c>
      <c r="D2" s="17" t="s">
        <v>23</v>
      </c>
      <c r="E2" s="16" t="s">
        <v>29</v>
      </c>
      <c r="H2" s="77" t="s">
        <v>39</v>
      </c>
      <c r="I2" s="77"/>
    </row>
    <row r="3" spans="1:9" ht="79.95" customHeight="1" x14ac:dyDescent="0.5">
      <c r="A3" s="18">
        <v>2</v>
      </c>
      <c r="B3" s="19" t="s">
        <v>25</v>
      </c>
      <c r="C3" s="19" t="s">
        <v>36</v>
      </c>
      <c r="D3" s="19" t="s">
        <v>26</v>
      </c>
      <c r="E3" s="18" t="s">
        <v>24</v>
      </c>
    </row>
    <row r="4" spans="1:9" ht="79.95" customHeight="1" x14ac:dyDescent="0.5">
      <c r="A4" s="18">
        <v>3</v>
      </c>
      <c r="B4" s="19" t="s">
        <v>27</v>
      </c>
      <c r="C4" s="19" t="s">
        <v>69</v>
      </c>
      <c r="D4" s="19" t="s">
        <v>28</v>
      </c>
      <c r="E4" s="18" t="s">
        <v>24</v>
      </c>
      <c r="H4" s="9" t="s">
        <v>40</v>
      </c>
      <c r="I4" s="9" t="s">
        <v>41</v>
      </c>
    </row>
    <row r="5" spans="1:9" ht="79.95" customHeight="1" x14ac:dyDescent="0.5">
      <c r="A5" s="18">
        <v>4</v>
      </c>
      <c r="B5" s="19" t="s">
        <v>30</v>
      </c>
      <c r="C5" s="19" t="s">
        <v>70</v>
      </c>
      <c r="D5" s="19" t="s">
        <v>31</v>
      </c>
      <c r="E5" s="18" t="s">
        <v>29</v>
      </c>
      <c r="H5" s="10" t="s">
        <v>24</v>
      </c>
      <c r="I5" s="11">
        <f>COUNTIF(E2:E61, "A")</f>
        <v>35</v>
      </c>
    </row>
    <row r="6" spans="1:9" ht="79.95" customHeight="1" x14ac:dyDescent="0.5">
      <c r="A6" s="18">
        <v>5</v>
      </c>
      <c r="B6" s="19" t="s">
        <v>32</v>
      </c>
      <c r="C6" s="19" t="s">
        <v>38</v>
      </c>
      <c r="D6" s="19" t="s">
        <v>33</v>
      </c>
      <c r="E6" s="18" t="s">
        <v>24</v>
      </c>
      <c r="H6" s="12" t="s">
        <v>29</v>
      </c>
      <c r="I6" s="11">
        <f>COUNTIF(E2:E61, "B")</f>
        <v>22</v>
      </c>
    </row>
    <row r="7" spans="1:9" ht="79.95" customHeight="1" x14ac:dyDescent="0.5">
      <c r="A7" s="16">
        <v>6</v>
      </c>
      <c r="B7" s="17" t="s">
        <v>21</v>
      </c>
      <c r="C7" s="17" t="s">
        <v>71</v>
      </c>
      <c r="D7" s="17" t="s">
        <v>23</v>
      </c>
      <c r="E7" s="16" t="s">
        <v>29</v>
      </c>
      <c r="H7" s="13" t="s">
        <v>34</v>
      </c>
      <c r="I7" s="11">
        <f>COUNTIF(E2:E61, "Tie")</f>
        <v>3</v>
      </c>
    </row>
    <row r="8" spans="1:9" ht="79.95" customHeight="1" x14ac:dyDescent="0.5">
      <c r="A8" s="18">
        <v>7</v>
      </c>
      <c r="B8" s="19" t="s">
        <v>25</v>
      </c>
      <c r="C8" s="19" t="s">
        <v>72</v>
      </c>
      <c r="D8" s="19" t="s">
        <v>26</v>
      </c>
      <c r="E8" s="18" t="s">
        <v>29</v>
      </c>
      <c r="H8" s="14" t="s">
        <v>42</v>
      </c>
      <c r="I8" s="15">
        <f>SUM(I5:I7)</f>
        <v>60</v>
      </c>
    </row>
    <row r="9" spans="1:9" ht="79.95" customHeight="1" x14ac:dyDescent="0.5">
      <c r="A9" s="18">
        <v>8</v>
      </c>
      <c r="B9" s="19" t="s">
        <v>27</v>
      </c>
      <c r="C9" s="19" t="s">
        <v>73</v>
      </c>
      <c r="D9" s="19" t="s">
        <v>28</v>
      </c>
      <c r="E9" s="18" t="s">
        <v>29</v>
      </c>
    </row>
    <row r="10" spans="1:9" ht="79.95" customHeight="1" x14ac:dyDescent="0.5">
      <c r="A10" s="18">
        <v>9</v>
      </c>
      <c r="B10" s="19" t="s">
        <v>30</v>
      </c>
      <c r="C10" s="19" t="s">
        <v>74</v>
      </c>
      <c r="D10" s="19" t="s">
        <v>31</v>
      </c>
      <c r="E10" s="18" t="s">
        <v>29</v>
      </c>
    </row>
    <row r="11" spans="1:9" ht="79.95" customHeight="1" x14ac:dyDescent="0.5">
      <c r="A11" s="18">
        <v>10</v>
      </c>
      <c r="B11" s="19" t="s">
        <v>32</v>
      </c>
      <c r="C11" s="19" t="s">
        <v>75</v>
      </c>
      <c r="D11" s="19" t="s">
        <v>33</v>
      </c>
      <c r="E11" s="18" t="s">
        <v>24</v>
      </c>
    </row>
    <row r="12" spans="1:9" ht="79.95" customHeight="1" x14ac:dyDescent="0.5">
      <c r="A12" s="16">
        <v>11</v>
      </c>
      <c r="B12" s="17" t="s">
        <v>21</v>
      </c>
      <c r="C12" s="17" t="s">
        <v>22</v>
      </c>
      <c r="D12" s="17" t="s">
        <v>23</v>
      </c>
      <c r="E12" s="16" t="s">
        <v>24</v>
      </c>
    </row>
    <row r="13" spans="1:9" ht="79.95" customHeight="1" x14ac:dyDescent="0.5">
      <c r="A13" s="18">
        <v>12</v>
      </c>
      <c r="B13" s="19" t="s">
        <v>25</v>
      </c>
      <c r="C13" s="19" t="s">
        <v>76</v>
      </c>
      <c r="D13" s="19" t="s">
        <v>26</v>
      </c>
      <c r="E13" s="18" t="s">
        <v>29</v>
      </c>
    </row>
    <row r="14" spans="1:9" ht="79.95" customHeight="1" x14ac:dyDescent="0.5">
      <c r="A14" s="18">
        <v>13</v>
      </c>
      <c r="B14" s="19" t="s">
        <v>27</v>
      </c>
      <c r="C14" s="19" t="s">
        <v>77</v>
      </c>
      <c r="D14" s="19" t="s">
        <v>28</v>
      </c>
      <c r="E14" s="18" t="s">
        <v>29</v>
      </c>
    </row>
    <row r="15" spans="1:9" ht="79.95" customHeight="1" x14ac:dyDescent="0.5">
      <c r="A15" s="18">
        <v>14</v>
      </c>
      <c r="B15" s="19" t="s">
        <v>30</v>
      </c>
      <c r="C15" s="19" t="s">
        <v>77</v>
      </c>
      <c r="D15" s="19" t="s">
        <v>31</v>
      </c>
      <c r="E15" s="18" t="s">
        <v>29</v>
      </c>
    </row>
    <row r="16" spans="1:9" ht="79.95" customHeight="1" x14ac:dyDescent="0.5">
      <c r="A16" s="18">
        <v>15</v>
      </c>
      <c r="B16" s="19" t="s">
        <v>32</v>
      </c>
      <c r="C16" s="19" t="s">
        <v>76</v>
      </c>
      <c r="D16" s="19" t="s">
        <v>33</v>
      </c>
      <c r="E16" s="18" t="s">
        <v>29</v>
      </c>
    </row>
    <row r="17" spans="1:5" ht="79.95" customHeight="1" x14ac:dyDescent="0.5">
      <c r="A17" s="16">
        <v>16</v>
      </c>
      <c r="B17" s="17" t="s">
        <v>21</v>
      </c>
      <c r="C17" s="17" t="s">
        <v>71</v>
      </c>
      <c r="D17" s="17" t="s">
        <v>23</v>
      </c>
      <c r="E17" s="16" t="s">
        <v>29</v>
      </c>
    </row>
    <row r="18" spans="1:5" ht="79.95" customHeight="1" x14ac:dyDescent="0.5">
      <c r="A18" s="18">
        <v>17</v>
      </c>
      <c r="B18" s="19" t="s">
        <v>25</v>
      </c>
      <c r="C18" s="19" t="s">
        <v>78</v>
      </c>
      <c r="D18" s="19" t="s">
        <v>26</v>
      </c>
      <c r="E18" s="18" t="s">
        <v>29</v>
      </c>
    </row>
    <row r="19" spans="1:5" ht="79.95" customHeight="1" x14ac:dyDescent="0.5">
      <c r="A19" s="18">
        <v>18</v>
      </c>
      <c r="B19" s="19" t="s">
        <v>27</v>
      </c>
      <c r="C19" s="19" t="s">
        <v>79</v>
      </c>
      <c r="D19" s="19" t="s">
        <v>28</v>
      </c>
      <c r="E19" s="18" t="s">
        <v>29</v>
      </c>
    </row>
    <row r="20" spans="1:5" ht="79.95" customHeight="1" x14ac:dyDescent="0.5">
      <c r="A20" s="18">
        <v>19</v>
      </c>
      <c r="B20" s="19" t="s">
        <v>30</v>
      </c>
      <c r="C20" s="19" t="s">
        <v>74</v>
      </c>
      <c r="D20" s="19" t="s">
        <v>31</v>
      </c>
      <c r="E20" s="18" t="s">
        <v>29</v>
      </c>
    </row>
    <row r="21" spans="1:5" ht="79.95" customHeight="1" x14ac:dyDescent="0.5">
      <c r="A21" s="18">
        <v>20</v>
      </c>
      <c r="B21" s="19" t="s">
        <v>32</v>
      </c>
      <c r="C21" s="19" t="s">
        <v>80</v>
      </c>
      <c r="D21" s="19" t="s">
        <v>33</v>
      </c>
      <c r="E21" s="18" t="s">
        <v>29</v>
      </c>
    </row>
    <row r="22" spans="1:5" ht="79.95" customHeight="1" x14ac:dyDescent="0.5">
      <c r="A22" s="16">
        <v>21</v>
      </c>
      <c r="B22" s="17" t="s">
        <v>21</v>
      </c>
      <c r="C22" s="17" t="s">
        <v>22</v>
      </c>
      <c r="D22" s="17" t="s">
        <v>23</v>
      </c>
      <c r="E22" s="16" t="s">
        <v>24</v>
      </c>
    </row>
    <row r="23" spans="1:5" ht="79.95" customHeight="1" x14ac:dyDescent="0.5">
      <c r="A23" s="61">
        <v>22</v>
      </c>
      <c r="B23" s="62" t="s">
        <v>25</v>
      </c>
      <c r="C23" s="62" t="s">
        <v>81</v>
      </c>
      <c r="D23" s="62" t="s">
        <v>26</v>
      </c>
      <c r="E23" s="61" t="s">
        <v>24</v>
      </c>
    </row>
    <row r="24" spans="1:5" ht="79.95" customHeight="1" x14ac:dyDescent="0.5">
      <c r="A24" s="61">
        <v>23</v>
      </c>
      <c r="B24" s="62" t="s">
        <v>27</v>
      </c>
      <c r="C24" s="62" t="s">
        <v>37</v>
      </c>
      <c r="D24" s="62" t="s">
        <v>28</v>
      </c>
      <c r="E24" s="61" t="s">
        <v>24</v>
      </c>
    </row>
    <row r="25" spans="1:5" ht="79.95" customHeight="1" x14ac:dyDescent="0.5">
      <c r="A25" s="61">
        <v>24</v>
      </c>
      <c r="B25" s="62" t="s">
        <v>30</v>
      </c>
      <c r="C25" s="62" t="s">
        <v>82</v>
      </c>
      <c r="D25" s="62" t="s">
        <v>31</v>
      </c>
      <c r="E25" s="61" t="s">
        <v>29</v>
      </c>
    </row>
    <row r="26" spans="1:5" ht="79.95" customHeight="1" x14ac:dyDescent="0.5">
      <c r="A26" s="61">
        <v>25</v>
      </c>
      <c r="B26" s="62" t="s">
        <v>32</v>
      </c>
      <c r="C26" s="62" t="s">
        <v>83</v>
      </c>
      <c r="D26" s="62" t="s">
        <v>33</v>
      </c>
      <c r="E26" s="61" t="s">
        <v>24</v>
      </c>
    </row>
    <row r="27" spans="1:5" ht="79.95" customHeight="1" x14ac:dyDescent="0.5">
      <c r="A27" s="16">
        <v>26</v>
      </c>
      <c r="B27" s="17" t="s">
        <v>21</v>
      </c>
      <c r="C27" s="17" t="s">
        <v>84</v>
      </c>
      <c r="D27" s="17" t="s">
        <v>23</v>
      </c>
      <c r="E27" s="16" t="s">
        <v>29</v>
      </c>
    </row>
    <row r="28" spans="1:5" ht="79.95" customHeight="1" x14ac:dyDescent="0.5">
      <c r="A28" s="61">
        <v>27</v>
      </c>
      <c r="B28" s="62" t="s">
        <v>25</v>
      </c>
      <c r="C28" s="62" t="s">
        <v>85</v>
      </c>
      <c r="D28" s="62" t="s">
        <v>26</v>
      </c>
      <c r="E28" s="61" t="s">
        <v>24</v>
      </c>
    </row>
    <row r="29" spans="1:5" ht="79.95" customHeight="1" x14ac:dyDescent="0.5">
      <c r="A29" s="61">
        <v>28</v>
      </c>
      <c r="B29" s="62" t="s">
        <v>27</v>
      </c>
      <c r="C29" s="62" t="s">
        <v>37</v>
      </c>
      <c r="D29" s="62" t="s">
        <v>28</v>
      </c>
      <c r="E29" s="61" t="s">
        <v>24</v>
      </c>
    </row>
    <row r="30" spans="1:5" ht="79.95" customHeight="1" x14ac:dyDescent="0.5">
      <c r="A30" s="61">
        <v>29</v>
      </c>
      <c r="B30" s="62" t="s">
        <v>30</v>
      </c>
      <c r="C30" s="62" t="s">
        <v>86</v>
      </c>
      <c r="D30" s="62" t="s">
        <v>31</v>
      </c>
      <c r="E30" s="61" t="s">
        <v>29</v>
      </c>
    </row>
    <row r="31" spans="1:5" ht="79.95" customHeight="1" x14ac:dyDescent="0.5">
      <c r="A31" s="61">
        <v>30</v>
      </c>
      <c r="B31" s="62" t="s">
        <v>32</v>
      </c>
      <c r="C31" s="62" t="s">
        <v>87</v>
      </c>
      <c r="D31" s="62" t="s">
        <v>33</v>
      </c>
      <c r="E31" s="61" t="s">
        <v>24</v>
      </c>
    </row>
    <row r="32" spans="1:5" ht="79.95" customHeight="1" x14ac:dyDescent="0.5">
      <c r="A32" s="16">
        <v>31</v>
      </c>
      <c r="B32" s="17" t="s">
        <v>21</v>
      </c>
      <c r="C32" s="17" t="s">
        <v>88</v>
      </c>
      <c r="D32" s="17" t="s">
        <v>23</v>
      </c>
      <c r="E32" s="16" t="s">
        <v>29</v>
      </c>
    </row>
    <row r="33" spans="1:5" ht="79.95" customHeight="1" x14ac:dyDescent="0.5">
      <c r="A33" s="61">
        <v>32</v>
      </c>
      <c r="B33" s="62" t="s">
        <v>25</v>
      </c>
      <c r="C33" s="62" t="s">
        <v>89</v>
      </c>
      <c r="D33" s="62" t="s">
        <v>26</v>
      </c>
      <c r="E33" s="61" t="s">
        <v>24</v>
      </c>
    </row>
    <row r="34" spans="1:5" ht="79.95" customHeight="1" x14ac:dyDescent="0.5">
      <c r="A34" s="61">
        <v>33</v>
      </c>
      <c r="B34" s="62" t="s">
        <v>27</v>
      </c>
      <c r="C34" s="62" t="s">
        <v>37</v>
      </c>
      <c r="D34" s="62" t="s">
        <v>28</v>
      </c>
      <c r="E34" s="61" t="s">
        <v>24</v>
      </c>
    </row>
    <row r="35" spans="1:5" ht="79.95" customHeight="1" x14ac:dyDescent="0.5">
      <c r="A35" s="61">
        <v>34</v>
      </c>
      <c r="B35" s="62" t="s">
        <v>30</v>
      </c>
      <c r="C35" s="62" t="s">
        <v>90</v>
      </c>
      <c r="D35" s="62" t="s">
        <v>31</v>
      </c>
      <c r="E35" s="61" t="s">
        <v>24</v>
      </c>
    </row>
    <row r="36" spans="1:5" ht="79.95" customHeight="1" x14ac:dyDescent="0.5">
      <c r="A36" s="61">
        <v>35</v>
      </c>
      <c r="B36" s="62" t="s">
        <v>32</v>
      </c>
      <c r="C36" s="62" t="s">
        <v>91</v>
      </c>
      <c r="D36" s="62" t="s">
        <v>33</v>
      </c>
      <c r="E36" s="61" t="s">
        <v>24</v>
      </c>
    </row>
    <row r="37" spans="1:5" ht="79.95" customHeight="1" x14ac:dyDescent="0.5">
      <c r="A37" s="16">
        <v>36</v>
      </c>
      <c r="B37" s="17" t="s">
        <v>21</v>
      </c>
      <c r="C37" s="17" t="s">
        <v>92</v>
      </c>
      <c r="D37" s="17" t="s">
        <v>23</v>
      </c>
      <c r="E37" s="16" t="s">
        <v>29</v>
      </c>
    </row>
    <row r="38" spans="1:5" ht="79.95" customHeight="1" x14ac:dyDescent="0.5">
      <c r="A38" s="61">
        <v>37</v>
      </c>
      <c r="B38" s="62" t="s">
        <v>25</v>
      </c>
      <c r="C38" s="62" t="s">
        <v>85</v>
      </c>
      <c r="D38" s="62" t="s">
        <v>26</v>
      </c>
      <c r="E38" s="61" t="s">
        <v>24</v>
      </c>
    </row>
    <row r="39" spans="1:5" ht="79.95" customHeight="1" x14ac:dyDescent="0.5">
      <c r="A39" s="61">
        <v>38</v>
      </c>
      <c r="B39" s="62" t="s">
        <v>27</v>
      </c>
      <c r="C39" s="62" t="s">
        <v>37</v>
      </c>
      <c r="D39" s="62" t="s">
        <v>28</v>
      </c>
      <c r="E39" s="61" t="s">
        <v>24</v>
      </c>
    </row>
    <row r="40" spans="1:5" ht="79.95" customHeight="1" x14ac:dyDescent="0.5">
      <c r="A40" s="61">
        <v>39</v>
      </c>
      <c r="B40" s="62" t="s">
        <v>30</v>
      </c>
      <c r="C40" s="62" t="s">
        <v>86</v>
      </c>
      <c r="D40" s="62" t="s">
        <v>31</v>
      </c>
      <c r="E40" s="61" t="s">
        <v>29</v>
      </c>
    </row>
    <row r="41" spans="1:5" ht="79.95" customHeight="1" x14ac:dyDescent="0.5">
      <c r="A41" s="61">
        <v>40</v>
      </c>
      <c r="B41" s="62" t="s">
        <v>32</v>
      </c>
      <c r="C41" s="62" t="s">
        <v>87</v>
      </c>
      <c r="D41" s="62" t="s">
        <v>33</v>
      </c>
      <c r="E41" s="61" t="s">
        <v>24</v>
      </c>
    </row>
    <row r="42" spans="1:5" ht="79.95" customHeight="1" x14ac:dyDescent="0.5">
      <c r="A42" s="16">
        <v>41</v>
      </c>
      <c r="B42" s="17" t="s">
        <v>21</v>
      </c>
      <c r="C42" s="17" t="s">
        <v>22</v>
      </c>
      <c r="D42" s="17" t="s">
        <v>23</v>
      </c>
      <c r="E42" s="16" t="s">
        <v>24</v>
      </c>
    </row>
    <row r="43" spans="1:5" ht="79.95" customHeight="1" x14ac:dyDescent="0.5">
      <c r="A43" s="20">
        <v>42</v>
      </c>
      <c r="B43" s="21" t="s">
        <v>25</v>
      </c>
      <c r="C43" s="21" t="s">
        <v>93</v>
      </c>
      <c r="D43" s="21" t="s">
        <v>26</v>
      </c>
      <c r="E43" s="20" t="s">
        <v>24</v>
      </c>
    </row>
    <row r="44" spans="1:5" ht="79.95" customHeight="1" x14ac:dyDescent="0.5">
      <c r="A44" s="20">
        <v>43</v>
      </c>
      <c r="B44" s="21" t="s">
        <v>27</v>
      </c>
      <c r="C44" s="21" t="s">
        <v>37</v>
      </c>
      <c r="D44" s="21" t="s">
        <v>28</v>
      </c>
      <c r="E44" s="20" t="s">
        <v>24</v>
      </c>
    </row>
    <row r="45" spans="1:5" ht="79.95" customHeight="1" x14ac:dyDescent="0.5">
      <c r="A45" s="20">
        <v>44</v>
      </c>
      <c r="B45" s="21" t="s">
        <v>30</v>
      </c>
      <c r="C45" s="21" t="s">
        <v>35</v>
      </c>
      <c r="D45" s="21" t="s">
        <v>31</v>
      </c>
      <c r="E45" s="20" t="s">
        <v>24</v>
      </c>
    </row>
    <row r="46" spans="1:5" ht="79.95" customHeight="1" x14ac:dyDescent="0.5">
      <c r="A46" s="20">
        <v>45</v>
      </c>
      <c r="B46" s="21" t="s">
        <v>32</v>
      </c>
      <c r="C46" s="21" t="s">
        <v>94</v>
      </c>
      <c r="D46" s="21" t="s">
        <v>33</v>
      </c>
      <c r="E46" s="20" t="s">
        <v>29</v>
      </c>
    </row>
    <row r="47" spans="1:5" ht="79.95" customHeight="1" x14ac:dyDescent="0.5">
      <c r="A47" s="16">
        <v>46</v>
      </c>
      <c r="B47" s="17" t="s">
        <v>21</v>
      </c>
      <c r="C47" s="17" t="s">
        <v>22</v>
      </c>
      <c r="D47" s="17" t="s">
        <v>23</v>
      </c>
      <c r="E47" s="16" t="s">
        <v>24</v>
      </c>
    </row>
    <row r="48" spans="1:5" ht="79.95" customHeight="1" x14ac:dyDescent="0.5">
      <c r="A48" s="20">
        <v>47</v>
      </c>
      <c r="B48" s="21" t="s">
        <v>25</v>
      </c>
      <c r="C48" s="21" t="s">
        <v>95</v>
      </c>
      <c r="D48" s="21" t="s">
        <v>26</v>
      </c>
      <c r="E48" s="20" t="s">
        <v>24</v>
      </c>
    </row>
    <row r="49" spans="1:5" ht="79.95" customHeight="1" x14ac:dyDescent="0.5">
      <c r="A49" s="20">
        <v>48</v>
      </c>
      <c r="B49" s="21" t="s">
        <v>27</v>
      </c>
      <c r="C49" s="21" t="s">
        <v>37</v>
      </c>
      <c r="D49" s="21" t="s">
        <v>28</v>
      </c>
      <c r="E49" s="20" t="s">
        <v>24</v>
      </c>
    </row>
    <row r="50" spans="1:5" ht="79.95" customHeight="1" x14ac:dyDescent="0.5">
      <c r="A50" s="20">
        <v>49</v>
      </c>
      <c r="B50" s="21" t="s">
        <v>30</v>
      </c>
      <c r="C50" s="21" t="s">
        <v>31</v>
      </c>
      <c r="D50" s="21" t="s">
        <v>31</v>
      </c>
      <c r="E50" s="20" t="s">
        <v>34</v>
      </c>
    </row>
    <row r="51" spans="1:5" ht="79.95" customHeight="1" x14ac:dyDescent="0.5">
      <c r="A51" s="20">
        <v>50</v>
      </c>
      <c r="B51" s="21" t="s">
        <v>32</v>
      </c>
      <c r="C51" s="21" t="s">
        <v>87</v>
      </c>
      <c r="D51" s="21" t="s">
        <v>33</v>
      </c>
      <c r="E51" s="20" t="s">
        <v>24</v>
      </c>
    </row>
    <row r="52" spans="1:5" ht="79.95" customHeight="1" x14ac:dyDescent="0.5">
      <c r="A52" s="16">
        <v>51</v>
      </c>
      <c r="B52" s="17" t="s">
        <v>21</v>
      </c>
      <c r="C52" s="17" t="s">
        <v>96</v>
      </c>
      <c r="D52" s="17" t="s">
        <v>23</v>
      </c>
      <c r="E52" s="16" t="s">
        <v>34</v>
      </c>
    </row>
    <row r="53" spans="1:5" ht="79.95" customHeight="1" x14ac:dyDescent="0.5">
      <c r="A53" s="20">
        <v>52</v>
      </c>
      <c r="B53" s="21" t="s">
        <v>25</v>
      </c>
      <c r="C53" s="21" t="s">
        <v>97</v>
      </c>
      <c r="D53" s="21" t="s">
        <v>26</v>
      </c>
      <c r="E53" s="20" t="s">
        <v>24</v>
      </c>
    </row>
    <row r="54" spans="1:5" ht="79.95" customHeight="1" x14ac:dyDescent="0.5">
      <c r="A54" s="20">
        <v>53</v>
      </c>
      <c r="B54" s="21" t="s">
        <v>27</v>
      </c>
      <c r="C54" s="21" t="s">
        <v>37</v>
      </c>
      <c r="D54" s="21" t="s">
        <v>28</v>
      </c>
      <c r="E54" s="20" t="s">
        <v>24</v>
      </c>
    </row>
    <row r="55" spans="1:5" ht="79.95" customHeight="1" x14ac:dyDescent="0.5">
      <c r="A55" s="20">
        <v>54</v>
      </c>
      <c r="B55" s="21" t="s">
        <v>30</v>
      </c>
      <c r="C55" s="21" t="s">
        <v>35</v>
      </c>
      <c r="D55" s="21" t="s">
        <v>31</v>
      </c>
      <c r="E55" s="20" t="s">
        <v>24</v>
      </c>
    </row>
    <row r="56" spans="1:5" ht="79.95" customHeight="1" x14ac:dyDescent="0.5">
      <c r="A56" s="20">
        <v>55</v>
      </c>
      <c r="B56" s="21" t="s">
        <v>32</v>
      </c>
      <c r="C56" s="21" t="s">
        <v>87</v>
      </c>
      <c r="D56" s="21" t="s">
        <v>33</v>
      </c>
      <c r="E56" s="20" t="s">
        <v>24</v>
      </c>
    </row>
    <row r="57" spans="1:5" ht="79.95" customHeight="1" x14ac:dyDescent="0.5">
      <c r="A57" s="16">
        <v>56</v>
      </c>
      <c r="B57" s="17" t="s">
        <v>21</v>
      </c>
      <c r="C57" s="17" t="s">
        <v>22</v>
      </c>
      <c r="D57" s="17" t="s">
        <v>23</v>
      </c>
      <c r="E57" s="16" t="s">
        <v>24</v>
      </c>
    </row>
    <row r="58" spans="1:5" ht="79.95" customHeight="1" x14ac:dyDescent="0.5">
      <c r="A58" s="20">
        <v>57</v>
      </c>
      <c r="B58" s="21" t="s">
        <v>25</v>
      </c>
      <c r="C58" s="21" t="s">
        <v>95</v>
      </c>
      <c r="D58" s="21" t="s">
        <v>26</v>
      </c>
      <c r="E58" s="20" t="s">
        <v>24</v>
      </c>
    </row>
    <row r="59" spans="1:5" ht="79.95" customHeight="1" x14ac:dyDescent="0.5">
      <c r="A59" s="20">
        <v>58</v>
      </c>
      <c r="B59" s="21" t="s">
        <v>27</v>
      </c>
      <c r="C59" s="21" t="s">
        <v>37</v>
      </c>
      <c r="D59" s="21" t="s">
        <v>28</v>
      </c>
      <c r="E59" s="20" t="s">
        <v>24</v>
      </c>
    </row>
    <row r="60" spans="1:5" ht="79.95" customHeight="1" x14ac:dyDescent="0.5">
      <c r="A60" s="20">
        <v>59</v>
      </c>
      <c r="B60" s="21" t="s">
        <v>30</v>
      </c>
      <c r="C60" s="21" t="s">
        <v>31</v>
      </c>
      <c r="D60" s="21" t="s">
        <v>31</v>
      </c>
      <c r="E60" s="20" t="s">
        <v>34</v>
      </c>
    </row>
    <row r="61" spans="1:5" ht="79.95" customHeight="1" x14ac:dyDescent="0.5">
      <c r="A61" s="20">
        <v>60</v>
      </c>
      <c r="B61" s="21" t="s">
        <v>32</v>
      </c>
      <c r="C61" s="21" t="s">
        <v>87</v>
      </c>
      <c r="D61" s="21" t="s">
        <v>33</v>
      </c>
      <c r="E61" s="20" t="s">
        <v>24</v>
      </c>
    </row>
  </sheetData>
  <autoFilter ref="B1:B61" xr:uid="{B40EF820-6243-43B8-8014-CC033E78D439}"/>
  <mergeCells count="1">
    <mergeCell ref="H2:I2"/>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8F21B-01A2-4E55-A422-46FE31B9794F}">
  <dimension ref="A1:I61"/>
  <sheetViews>
    <sheetView topLeftCell="A39" zoomScale="21" zoomScaleNormal="100" workbookViewId="0">
      <selection activeCell="C42" sqref="C42:E61"/>
    </sheetView>
  </sheetViews>
  <sheetFormatPr defaultRowHeight="25.8" x14ac:dyDescent="0.5"/>
  <cols>
    <col min="1" max="1" width="8.6640625" style="8" customWidth="1"/>
    <col min="2" max="2" width="38.5546875" style="6" customWidth="1"/>
    <col min="3" max="3" width="47.77734375" style="6" customWidth="1"/>
    <col min="4" max="4" width="45.21875" style="6" customWidth="1"/>
    <col min="5" max="5" width="30.21875" style="8" customWidth="1"/>
    <col min="6" max="6" width="8.88671875" style="6" customWidth="1"/>
    <col min="7" max="7" width="8.88671875" style="6"/>
    <col min="8" max="8" width="17.21875" style="6" customWidth="1"/>
    <col min="9" max="9" width="26.77734375" style="6" customWidth="1"/>
    <col min="10" max="16384" width="8.88671875" style="6"/>
  </cols>
  <sheetData>
    <row r="1" spans="1:9" ht="19.95" customHeight="1" x14ac:dyDescent="0.5">
      <c r="A1" s="5" t="s">
        <v>16</v>
      </c>
      <c r="B1" s="5" t="s">
        <v>17</v>
      </c>
      <c r="C1" s="5" t="s">
        <v>18</v>
      </c>
      <c r="D1" s="5" t="s">
        <v>19</v>
      </c>
      <c r="E1" s="5" t="s">
        <v>20</v>
      </c>
    </row>
    <row r="2" spans="1:9" ht="79.95" customHeight="1" x14ac:dyDescent="0.5">
      <c r="A2" s="16">
        <v>1</v>
      </c>
      <c r="B2" s="17" t="s">
        <v>21</v>
      </c>
      <c r="C2" s="17" t="s">
        <v>68</v>
      </c>
      <c r="D2" s="17" t="s">
        <v>23</v>
      </c>
      <c r="E2" s="16" t="s">
        <v>24</v>
      </c>
      <c r="H2" s="77" t="s">
        <v>39</v>
      </c>
      <c r="I2" s="77"/>
    </row>
    <row r="3" spans="1:9" ht="79.95" customHeight="1" x14ac:dyDescent="0.5">
      <c r="A3" s="18">
        <v>2</v>
      </c>
      <c r="B3" s="19" t="s">
        <v>25</v>
      </c>
      <c r="C3" s="19" t="s">
        <v>36</v>
      </c>
      <c r="D3" s="19" t="s">
        <v>26</v>
      </c>
      <c r="E3" s="18" t="s">
        <v>24</v>
      </c>
    </row>
    <row r="4" spans="1:9" ht="79.95" customHeight="1" x14ac:dyDescent="0.5">
      <c r="A4" s="18">
        <v>3</v>
      </c>
      <c r="B4" s="19" t="s">
        <v>27</v>
      </c>
      <c r="C4" s="19" t="s">
        <v>69</v>
      </c>
      <c r="D4" s="19" t="s">
        <v>28</v>
      </c>
      <c r="E4" s="18" t="s">
        <v>24</v>
      </c>
      <c r="H4" s="9" t="s">
        <v>40</v>
      </c>
      <c r="I4" s="9" t="s">
        <v>41</v>
      </c>
    </row>
    <row r="5" spans="1:9" ht="79.95" customHeight="1" x14ac:dyDescent="0.5">
      <c r="A5" s="18">
        <v>4</v>
      </c>
      <c r="B5" s="19" t="s">
        <v>30</v>
      </c>
      <c r="C5" s="19" t="s">
        <v>70</v>
      </c>
      <c r="D5" s="19" t="s">
        <v>31</v>
      </c>
      <c r="E5" s="18" t="s">
        <v>24</v>
      </c>
      <c r="H5" s="10" t="s">
        <v>24</v>
      </c>
      <c r="I5" s="11">
        <f>COUNTIF(E2:E61, "A")</f>
        <v>27</v>
      </c>
    </row>
    <row r="6" spans="1:9" ht="79.95" customHeight="1" x14ac:dyDescent="0.5">
      <c r="A6" s="18">
        <v>5</v>
      </c>
      <c r="B6" s="19" t="s">
        <v>32</v>
      </c>
      <c r="C6" s="19" t="s">
        <v>38</v>
      </c>
      <c r="D6" s="19" t="s">
        <v>33</v>
      </c>
      <c r="E6" s="18" t="s">
        <v>24</v>
      </c>
      <c r="H6" s="12" t="s">
        <v>29</v>
      </c>
      <c r="I6" s="11">
        <f>COUNTIF(E2:E61, "B")</f>
        <v>25</v>
      </c>
    </row>
    <row r="7" spans="1:9" ht="79.95" customHeight="1" x14ac:dyDescent="0.5">
      <c r="A7" s="16">
        <v>6</v>
      </c>
      <c r="B7" s="17" t="s">
        <v>21</v>
      </c>
      <c r="C7" s="17" t="s">
        <v>71</v>
      </c>
      <c r="D7" s="17" t="s">
        <v>23</v>
      </c>
      <c r="E7" s="16" t="s">
        <v>29</v>
      </c>
      <c r="H7" s="13" t="s">
        <v>34</v>
      </c>
      <c r="I7" s="11">
        <f>COUNTIF(E2:E61, "Tie")</f>
        <v>8</v>
      </c>
    </row>
    <row r="8" spans="1:9" ht="79.95" customHeight="1" x14ac:dyDescent="0.5">
      <c r="A8" s="18">
        <v>7</v>
      </c>
      <c r="B8" s="19" t="s">
        <v>25</v>
      </c>
      <c r="C8" s="19" t="s">
        <v>72</v>
      </c>
      <c r="D8" s="19" t="s">
        <v>26</v>
      </c>
      <c r="E8" s="18" t="s">
        <v>24</v>
      </c>
      <c r="H8" s="14" t="s">
        <v>42</v>
      </c>
      <c r="I8" s="15">
        <f>SUM(I5:I7)</f>
        <v>60</v>
      </c>
    </row>
    <row r="9" spans="1:9" ht="79.95" customHeight="1" x14ac:dyDescent="0.5">
      <c r="A9" s="18">
        <v>8</v>
      </c>
      <c r="B9" s="19" t="s">
        <v>27</v>
      </c>
      <c r="C9" s="19" t="s">
        <v>73</v>
      </c>
      <c r="D9" s="19" t="s">
        <v>28</v>
      </c>
      <c r="E9" s="18" t="s">
        <v>29</v>
      </c>
    </row>
    <row r="10" spans="1:9" ht="79.95" customHeight="1" x14ac:dyDescent="0.5">
      <c r="A10" s="18">
        <v>9</v>
      </c>
      <c r="B10" s="19" t="s">
        <v>30</v>
      </c>
      <c r="C10" s="19" t="s">
        <v>74</v>
      </c>
      <c r="D10" s="19" t="s">
        <v>31</v>
      </c>
      <c r="E10" s="18" t="s">
        <v>29</v>
      </c>
    </row>
    <row r="11" spans="1:9" ht="79.95" customHeight="1" x14ac:dyDescent="0.5">
      <c r="A11" s="18">
        <v>10</v>
      </c>
      <c r="B11" s="19" t="s">
        <v>32</v>
      </c>
      <c r="C11" s="19" t="s">
        <v>75</v>
      </c>
      <c r="D11" s="19" t="s">
        <v>33</v>
      </c>
      <c r="E11" s="18" t="s">
        <v>24</v>
      </c>
    </row>
    <row r="12" spans="1:9" ht="79.95" customHeight="1" x14ac:dyDescent="0.5">
      <c r="A12" s="16">
        <v>11</v>
      </c>
      <c r="B12" s="17" t="s">
        <v>21</v>
      </c>
      <c r="C12" s="17" t="s">
        <v>22</v>
      </c>
      <c r="D12" s="17" t="s">
        <v>23</v>
      </c>
      <c r="E12" s="16" t="s">
        <v>24</v>
      </c>
    </row>
    <row r="13" spans="1:9" ht="79.95" customHeight="1" x14ac:dyDescent="0.5">
      <c r="A13" s="18">
        <v>12</v>
      </c>
      <c r="B13" s="19" t="s">
        <v>25</v>
      </c>
      <c r="C13" s="19" t="s">
        <v>76</v>
      </c>
      <c r="D13" s="19" t="s">
        <v>26</v>
      </c>
      <c r="E13" s="18" t="s">
        <v>29</v>
      </c>
    </row>
    <row r="14" spans="1:9" ht="79.95" customHeight="1" x14ac:dyDescent="0.5">
      <c r="A14" s="18">
        <v>13</v>
      </c>
      <c r="B14" s="19" t="s">
        <v>27</v>
      </c>
      <c r="C14" s="19" t="s">
        <v>77</v>
      </c>
      <c r="D14" s="19" t="s">
        <v>28</v>
      </c>
      <c r="E14" s="18" t="s">
        <v>29</v>
      </c>
    </row>
    <row r="15" spans="1:9" ht="79.95" customHeight="1" x14ac:dyDescent="0.5">
      <c r="A15" s="18">
        <v>14</v>
      </c>
      <c r="B15" s="19" t="s">
        <v>30</v>
      </c>
      <c r="C15" s="19" t="s">
        <v>77</v>
      </c>
      <c r="D15" s="19" t="s">
        <v>31</v>
      </c>
      <c r="E15" s="18" t="s">
        <v>29</v>
      </c>
    </row>
    <row r="16" spans="1:9" ht="79.95" customHeight="1" x14ac:dyDescent="0.5">
      <c r="A16" s="18">
        <v>15</v>
      </c>
      <c r="B16" s="19" t="s">
        <v>32</v>
      </c>
      <c r="C16" s="19" t="s">
        <v>76</v>
      </c>
      <c r="D16" s="19" t="s">
        <v>33</v>
      </c>
      <c r="E16" s="18" t="s">
        <v>29</v>
      </c>
    </row>
    <row r="17" spans="1:5" ht="79.95" customHeight="1" x14ac:dyDescent="0.5">
      <c r="A17" s="16">
        <v>16</v>
      </c>
      <c r="B17" s="17" t="s">
        <v>21</v>
      </c>
      <c r="C17" s="17" t="s">
        <v>71</v>
      </c>
      <c r="D17" s="17" t="s">
        <v>23</v>
      </c>
      <c r="E17" s="16" t="s">
        <v>29</v>
      </c>
    </row>
    <row r="18" spans="1:5" ht="79.95" customHeight="1" x14ac:dyDescent="0.5">
      <c r="A18" s="18">
        <v>17</v>
      </c>
      <c r="B18" s="19" t="s">
        <v>25</v>
      </c>
      <c r="C18" s="19" t="s">
        <v>78</v>
      </c>
      <c r="D18" s="19" t="s">
        <v>26</v>
      </c>
      <c r="E18" s="18" t="s">
        <v>29</v>
      </c>
    </row>
    <row r="19" spans="1:5" ht="79.95" customHeight="1" x14ac:dyDescent="0.5">
      <c r="A19" s="18">
        <v>18</v>
      </c>
      <c r="B19" s="19" t="s">
        <v>27</v>
      </c>
      <c r="C19" s="19" t="s">
        <v>79</v>
      </c>
      <c r="D19" s="19" t="s">
        <v>28</v>
      </c>
      <c r="E19" s="18" t="s">
        <v>29</v>
      </c>
    </row>
    <row r="20" spans="1:5" ht="79.95" customHeight="1" x14ac:dyDescent="0.5">
      <c r="A20" s="18">
        <v>19</v>
      </c>
      <c r="B20" s="19" t="s">
        <v>30</v>
      </c>
      <c r="C20" s="19" t="s">
        <v>74</v>
      </c>
      <c r="D20" s="19" t="s">
        <v>31</v>
      </c>
      <c r="E20" s="18" t="s">
        <v>29</v>
      </c>
    </row>
    <row r="21" spans="1:5" ht="79.95" customHeight="1" x14ac:dyDescent="0.5">
      <c r="A21" s="18">
        <v>20</v>
      </c>
      <c r="B21" s="19" t="s">
        <v>32</v>
      </c>
      <c r="C21" s="19" t="s">
        <v>80</v>
      </c>
      <c r="D21" s="19" t="s">
        <v>33</v>
      </c>
      <c r="E21" s="18" t="s">
        <v>29</v>
      </c>
    </row>
    <row r="22" spans="1:5" ht="79.95" customHeight="1" x14ac:dyDescent="0.5">
      <c r="A22" s="16">
        <v>21</v>
      </c>
      <c r="B22" s="17" t="s">
        <v>21</v>
      </c>
      <c r="C22" s="17" t="s">
        <v>22</v>
      </c>
      <c r="D22" s="17" t="s">
        <v>23</v>
      </c>
      <c r="E22" s="16" t="s">
        <v>24</v>
      </c>
    </row>
    <row r="23" spans="1:5" ht="79.95" customHeight="1" x14ac:dyDescent="0.5">
      <c r="A23" s="61">
        <v>22</v>
      </c>
      <c r="B23" s="62" t="s">
        <v>25</v>
      </c>
      <c r="C23" s="62" t="s">
        <v>81</v>
      </c>
      <c r="D23" s="62" t="s">
        <v>26</v>
      </c>
      <c r="E23" s="61" t="s">
        <v>29</v>
      </c>
    </row>
    <row r="24" spans="1:5" ht="79.95" customHeight="1" x14ac:dyDescent="0.5">
      <c r="A24" s="61">
        <v>23</v>
      </c>
      <c r="B24" s="62" t="s">
        <v>27</v>
      </c>
      <c r="C24" s="62" t="s">
        <v>37</v>
      </c>
      <c r="D24" s="62" t="s">
        <v>28</v>
      </c>
      <c r="E24" s="61" t="s">
        <v>24</v>
      </c>
    </row>
    <row r="25" spans="1:5" ht="79.95" customHeight="1" x14ac:dyDescent="0.5">
      <c r="A25" s="61">
        <v>24</v>
      </c>
      <c r="B25" s="62" t="s">
        <v>30</v>
      </c>
      <c r="C25" s="62" t="s">
        <v>82</v>
      </c>
      <c r="D25" s="62" t="s">
        <v>31</v>
      </c>
      <c r="E25" s="61" t="s">
        <v>29</v>
      </c>
    </row>
    <row r="26" spans="1:5" ht="79.95" customHeight="1" x14ac:dyDescent="0.5">
      <c r="A26" s="61">
        <v>25</v>
      </c>
      <c r="B26" s="62" t="s">
        <v>32</v>
      </c>
      <c r="C26" s="62" t="s">
        <v>83</v>
      </c>
      <c r="D26" s="62" t="s">
        <v>33</v>
      </c>
      <c r="E26" s="61" t="s">
        <v>24</v>
      </c>
    </row>
    <row r="27" spans="1:5" ht="79.95" customHeight="1" x14ac:dyDescent="0.5">
      <c r="A27" s="16">
        <v>26</v>
      </c>
      <c r="B27" s="17" t="s">
        <v>21</v>
      </c>
      <c r="C27" s="17" t="s">
        <v>84</v>
      </c>
      <c r="D27" s="17" t="s">
        <v>23</v>
      </c>
      <c r="E27" s="16" t="s">
        <v>29</v>
      </c>
    </row>
    <row r="28" spans="1:5" ht="79.95" customHeight="1" x14ac:dyDescent="0.5">
      <c r="A28" s="61">
        <v>27</v>
      </c>
      <c r="B28" s="62" t="s">
        <v>25</v>
      </c>
      <c r="C28" s="62" t="s">
        <v>85</v>
      </c>
      <c r="D28" s="62" t="s">
        <v>26</v>
      </c>
      <c r="E28" s="61" t="s">
        <v>29</v>
      </c>
    </row>
    <row r="29" spans="1:5" ht="79.95" customHeight="1" x14ac:dyDescent="0.5">
      <c r="A29" s="61">
        <v>28</v>
      </c>
      <c r="B29" s="62" t="s">
        <v>27</v>
      </c>
      <c r="C29" s="62" t="s">
        <v>37</v>
      </c>
      <c r="D29" s="62" t="s">
        <v>28</v>
      </c>
      <c r="E29" s="61" t="s">
        <v>24</v>
      </c>
    </row>
    <row r="30" spans="1:5" ht="79.95" customHeight="1" x14ac:dyDescent="0.5">
      <c r="A30" s="61">
        <v>29</v>
      </c>
      <c r="B30" s="62" t="s">
        <v>30</v>
      </c>
      <c r="C30" s="62" t="s">
        <v>86</v>
      </c>
      <c r="D30" s="62" t="s">
        <v>31</v>
      </c>
      <c r="E30" s="61" t="s">
        <v>29</v>
      </c>
    </row>
    <row r="31" spans="1:5" ht="79.95" customHeight="1" x14ac:dyDescent="0.5">
      <c r="A31" s="61">
        <v>30</v>
      </c>
      <c r="B31" s="62" t="s">
        <v>32</v>
      </c>
      <c r="C31" s="62" t="s">
        <v>87</v>
      </c>
      <c r="D31" s="62" t="s">
        <v>33</v>
      </c>
      <c r="E31" s="61" t="s">
        <v>34</v>
      </c>
    </row>
    <row r="32" spans="1:5" ht="79.95" customHeight="1" x14ac:dyDescent="0.5">
      <c r="A32" s="16">
        <v>31</v>
      </c>
      <c r="B32" s="17" t="s">
        <v>21</v>
      </c>
      <c r="C32" s="17" t="s">
        <v>88</v>
      </c>
      <c r="D32" s="17" t="s">
        <v>23</v>
      </c>
      <c r="E32" s="16" t="s">
        <v>29</v>
      </c>
    </row>
    <row r="33" spans="1:5" ht="79.95" customHeight="1" x14ac:dyDescent="0.5">
      <c r="A33" s="61">
        <v>32</v>
      </c>
      <c r="B33" s="62" t="s">
        <v>25</v>
      </c>
      <c r="C33" s="62" t="s">
        <v>89</v>
      </c>
      <c r="D33" s="62" t="s">
        <v>26</v>
      </c>
      <c r="E33" s="61" t="s">
        <v>29</v>
      </c>
    </row>
    <row r="34" spans="1:5" ht="79.95" customHeight="1" x14ac:dyDescent="0.5">
      <c r="A34" s="61">
        <v>33</v>
      </c>
      <c r="B34" s="62" t="s">
        <v>27</v>
      </c>
      <c r="C34" s="62" t="s">
        <v>37</v>
      </c>
      <c r="D34" s="62" t="s">
        <v>28</v>
      </c>
      <c r="E34" s="61" t="s">
        <v>24</v>
      </c>
    </row>
    <row r="35" spans="1:5" ht="79.95" customHeight="1" x14ac:dyDescent="0.5">
      <c r="A35" s="61">
        <v>34</v>
      </c>
      <c r="B35" s="62" t="s">
        <v>30</v>
      </c>
      <c r="C35" s="62" t="s">
        <v>90</v>
      </c>
      <c r="D35" s="62" t="s">
        <v>31</v>
      </c>
      <c r="E35" s="61" t="s">
        <v>29</v>
      </c>
    </row>
    <row r="36" spans="1:5" ht="79.95" customHeight="1" x14ac:dyDescent="0.5">
      <c r="A36" s="61">
        <v>35</v>
      </c>
      <c r="B36" s="62" t="s">
        <v>32</v>
      </c>
      <c r="C36" s="62" t="s">
        <v>91</v>
      </c>
      <c r="D36" s="62" t="s">
        <v>33</v>
      </c>
      <c r="E36" s="61" t="s">
        <v>24</v>
      </c>
    </row>
    <row r="37" spans="1:5" ht="79.95" customHeight="1" x14ac:dyDescent="0.5">
      <c r="A37" s="16">
        <v>36</v>
      </c>
      <c r="B37" s="17" t="s">
        <v>21</v>
      </c>
      <c r="C37" s="17" t="s">
        <v>92</v>
      </c>
      <c r="D37" s="17" t="s">
        <v>23</v>
      </c>
      <c r="E37" s="16" t="s">
        <v>29</v>
      </c>
    </row>
    <row r="38" spans="1:5" ht="79.95" customHeight="1" x14ac:dyDescent="0.5">
      <c r="A38" s="61">
        <v>37</v>
      </c>
      <c r="B38" s="62" t="s">
        <v>25</v>
      </c>
      <c r="C38" s="62" t="s">
        <v>85</v>
      </c>
      <c r="D38" s="62" t="s">
        <v>26</v>
      </c>
      <c r="E38" s="61" t="s">
        <v>29</v>
      </c>
    </row>
    <row r="39" spans="1:5" ht="79.95" customHeight="1" x14ac:dyDescent="0.5">
      <c r="A39" s="61">
        <v>38</v>
      </c>
      <c r="B39" s="62" t="s">
        <v>27</v>
      </c>
      <c r="C39" s="62" t="s">
        <v>37</v>
      </c>
      <c r="D39" s="62" t="s">
        <v>28</v>
      </c>
      <c r="E39" s="61" t="s">
        <v>24</v>
      </c>
    </row>
    <row r="40" spans="1:5" ht="79.95" customHeight="1" x14ac:dyDescent="0.5">
      <c r="A40" s="61">
        <v>39</v>
      </c>
      <c r="B40" s="62" t="s">
        <v>30</v>
      </c>
      <c r="C40" s="62" t="s">
        <v>86</v>
      </c>
      <c r="D40" s="62" t="s">
        <v>31</v>
      </c>
      <c r="E40" s="61" t="s">
        <v>29</v>
      </c>
    </row>
    <row r="41" spans="1:5" ht="79.95" customHeight="1" x14ac:dyDescent="0.5">
      <c r="A41" s="61">
        <v>40</v>
      </c>
      <c r="B41" s="62" t="s">
        <v>32</v>
      </c>
      <c r="C41" s="62" t="s">
        <v>87</v>
      </c>
      <c r="D41" s="62" t="s">
        <v>33</v>
      </c>
      <c r="E41" s="61" t="s">
        <v>34</v>
      </c>
    </row>
    <row r="42" spans="1:5" ht="79.95" customHeight="1" x14ac:dyDescent="0.5">
      <c r="A42" s="16">
        <v>41</v>
      </c>
      <c r="B42" s="17" t="s">
        <v>21</v>
      </c>
      <c r="C42" s="17" t="s">
        <v>22</v>
      </c>
      <c r="D42" s="17" t="s">
        <v>23</v>
      </c>
      <c r="E42" s="16" t="s">
        <v>24</v>
      </c>
    </row>
    <row r="43" spans="1:5" ht="79.95" customHeight="1" x14ac:dyDescent="0.5">
      <c r="A43" s="20">
        <v>42</v>
      </c>
      <c r="B43" s="21" t="s">
        <v>25</v>
      </c>
      <c r="C43" s="21" t="s">
        <v>93</v>
      </c>
      <c r="D43" s="21" t="s">
        <v>26</v>
      </c>
      <c r="E43" s="20" t="s">
        <v>29</v>
      </c>
    </row>
    <row r="44" spans="1:5" ht="79.95" customHeight="1" x14ac:dyDescent="0.5">
      <c r="A44" s="20">
        <v>43</v>
      </c>
      <c r="B44" s="21" t="s">
        <v>27</v>
      </c>
      <c r="C44" s="21" t="s">
        <v>37</v>
      </c>
      <c r="D44" s="21" t="s">
        <v>28</v>
      </c>
      <c r="E44" s="20" t="s">
        <v>24</v>
      </c>
    </row>
    <row r="45" spans="1:5" ht="79.95" customHeight="1" x14ac:dyDescent="0.5">
      <c r="A45" s="20">
        <v>44</v>
      </c>
      <c r="B45" s="21" t="s">
        <v>30</v>
      </c>
      <c r="C45" s="21" t="s">
        <v>35</v>
      </c>
      <c r="D45" s="21" t="s">
        <v>31</v>
      </c>
      <c r="E45" s="20" t="s">
        <v>24</v>
      </c>
    </row>
    <row r="46" spans="1:5" ht="79.95" customHeight="1" x14ac:dyDescent="0.5">
      <c r="A46" s="20">
        <v>45</v>
      </c>
      <c r="B46" s="21" t="s">
        <v>32</v>
      </c>
      <c r="C46" s="21" t="s">
        <v>94</v>
      </c>
      <c r="D46" s="21" t="s">
        <v>33</v>
      </c>
      <c r="E46" s="20" t="s">
        <v>24</v>
      </c>
    </row>
    <row r="47" spans="1:5" ht="79.95" customHeight="1" x14ac:dyDescent="0.5">
      <c r="A47" s="16">
        <v>46</v>
      </c>
      <c r="B47" s="17" t="s">
        <v>21</v>
      </c>
      <c r="C47" s="17" t="s">
        <v>22</v>
      </c>
      <c r="D47" s="17" t="s">
        <v>23</v>
      </c>
      <c r="E47" s="16" t="s">
        <v>24</v>
      </c>
    </row>
    <row r="48" spans="1:5" ht="79.95" customHeight="1" x14ac:dyDescent="0.5">
      <c r="A48" s="20">
        <v>47</v>
      </c>
      <c r="B48" s="21" t="s">
        <v>25</v>
      </c>
      <c r="C48" s="21" t="s">
        <v>95</v>
      </c>
      <c r="D48" s="21" t="s">
        <v>26</v>
      </c>
      <c r="E48" s="20" t="s">
        <v>24</v>
      </c>
    </row>
    <row r="49" spans="1:5" ht="79.95" customHeight="1" x14ac:dyDescent="0.5">
      <c r="A49" s="20">
        <v>48</v>
      </c>
      <c r="B49" s="21" t="s">
        <v>27</v>
      </c>
      <c r="C49" s="21" t="s">
        <v>37</v>
      </c>
      <c r="D49" s="21" t="s">
        <v>28</v>
      </c>
      <c r="E49" s="20" t="s">
        <v>24</v>
      </c>
    </row>
    <row r="50" spans="1:5" ht="79.95" customHeight="1" x14ac:dyDescent="0.5">
      <c r="A50" s="20">
        <v>49</v>
      </c>
      <c r="B50" s="21" t="s">
        <v>30</v>
      </c>
      <c r="C50" s="21" t="s">
        <v>31</v>
      </c>
      <c r="D50" s="21" t="s">
        <v>31</v>
      </c>
      <c r="E50" s="20" t="s">
        <v>34</v>
      </c>
    </row>
    <row r="51" spans="1:5" ht="79.95" customHeight="1" x14ac:dyDescent="0.5">
      <c r="A51" s="20">
        <v>50</v>
      </c>
      <c r="B51" s="21" t="s">
        <v>32</v>
      </c>
      <c r="C51" s="21" t="s">
        <v>87</v>
      </c>
      <c r="D51" s="21" t="s">
        <v>33</v>
      </c>
      <c r="E51" s="20" t="s">
        <v>34</v>
      </c>
    </row>
    <row r="52" spans="1:5" ht="79.95" customHeight="1" x14ac:dyDescent="0.5">
      <c r="A52" s="16">
        <v>51</v>
      </c>
      <c r="B52" s="17" t="s">
        <v>21</v>
      </c>
      <c r="C52" s="17" t="s">
        <v>96</v>
      </c>
      <c r="D52" s="17" t="s">
        <v>23</v>
      </c>
      <c r="E52" s="16" t="s">
        <v>34</v>
      </c>
    </row>
    <row r="53" spans="1:5" ht="79.95" customHeight="1" x14ac:dyDescent="0.5">
      <c r="A53" s="20">
        <v>52</v>
      </c>
      <c r="B53" s="21" t="s">
        <v>25</v>
      </c>
      <c r="C53" s="21" t="s">
        <v>97</v>
      </c>
      <c r="D53" s="21" t="s">
        <v>26</v>
      </c>
      <c r="E53" s="20" t="s">
        <v>29</v>
      </c>
    </row>
    <row r="54" spans="1:5" ht="79.95" customHeight="1" x14ac:dyDescent="0.5">
      <c r="A54" s="20">
        <v>53</v>
      </c>
      <c r="B54" s="21" t="s">
        <v>27</v>
      </c>
      <c r="C54" s="21" t="s">
        <v>37</v>
      </c>
      <c r="D54" s="21" t="s">
        <v>28</v>
      </c>
      <c r="E54" s="20" t="s">
        <v>24</v>
      </c>
    </row>
    <row r="55" spans="1:5" ht="79.95" customHeight="1" x14ac:dyDescent="0.5">
      <c r="A55" s="20">
        <v>54</v>
      </c>
      <c r="B55" s="21" t="s">
        <v>30</v>
      </c>
      <c r="C55" s="21" t="s">
        <v>35</v>
      </c>
      <c r="D55" s="21" t="s">
        <v>31</v>
      </c>
      <c r="E55" s="20" t="s">
        <v>24</v>
      </c>
    </row>
    <row r="56" spans="1:5" ht="79.95" customHeight="1" x14ac:dyDescent="0.5">
      <c r="A56" s="20">
        <v>55</v>
      </c>
      <c r="B56" s="21" t="s">
        <v>32</v>
      </c>
      <c r="C56" s="21" t="s">
        <v>87</v>
      </c>
      <c r="D56" s="21" t="s">
        <v>33</v>
      </c>
      <c r="E56" s="20" t="s">
        <v>34</v>
      </c>
    </row>
    <row r="57" spans="1:5" ht="79.95" customHeight="1" x14ac:dyDescent="0.5">
      <c r="A57" s="16">
        <v>56</v>
      </c>
      <c r="B57" s="17" t="s">
        <v>21</v>
      </c>
      <c r="C57" s="17" t="s">
        <v>22</v>
      </c>
      <c r="D57" s="17" t="s">
        <v>23</v>
      </c>
      <c r="E57" s="16" t="s">
        <v>24</v>
      </c>
    </row>
    <row r="58" spans="1:5" ht="79.95" customHeight="1" x14ac:dyDescent="0.5">
      <c r="A58" s="20">
        <v>57</v>
      </c>
      <c r="B58" s="21" t="s">
        <v>25</v>
      </c>
      <c r="C58" s="21" t="s">
        <v>95</v>
      </c>
      <c r="D58" s="21" t="s">
        <v>26</v>
      </c>
      <c r="E58" s="20" t="s">
        <v>24</v>
      </c>
    </row>
    <row r="59" spans="1:5" ht="79.95" customHeight="1" x14ac:dyDescent="0.5">
      <c r="A59" s="20">
        <v>58</v>
      </c>
      <c r="B59" s="21" t="s">
        <v>27</v>
      </c>
      <c r="C59" s="21" t="s">
        <v>37</v>
      </c>
      <c r="D59" s="21" t="s">
        <v>28</v>
      </c>
      <c r="E59" s="20" t="s">
        <v>24</v>
      </c>
    </row>
    <row r="60" spans="1:5" ht="79.95" customHeight="1" x14ac:dyDescent="0.5">
      <c r="A60" s="20">
        <v>59</v>
      </c>
      <c r="B60" s="21" t="s">
        <v>30</v>
      </c>
      <c r="C60" s="21" t="s">
        <v>31</v>
      </c>
      <c r="D60" s="21" t="s">
        <v>31</v>
      </c>
      <c r="E60" s="20" t="s">
        <v>34</v>
      </c>
    </row>
    <row r="61" spans="1:5" ht="79.95" customHeight="1" x14ac:dyDescent="0.5">
      <c r="A61" s="20">
        <v>60</v>
      </c>
      <c r="B61" s="21" t="s">
        <v>32</v>
      </c>
      <c r="C61" s="21" t="s">
        <v>87</v>
      </c>
      <c r="D61" s="21" t="s">
        <v>33</v>
      </c>
      <c r="E61" s="20" t="s">
        <v>34</v>
      </c>
    </row>
  </sheetData>
  <autoFilter ref="B1:B61" xr:uid="{3298F21B-01A2-4E55-A422-46FE31B9794F}"/>
  <mergeCells count="1">
    <mergeCell ref="H2:I2"/>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5325-8420-48FE-B72E-A66A6D4A98E1}">
  <dimension ref="A1:X63"/>
  <sheetViews>
    <sheetView tabSelected="1" topLeftCell="R3" zoomScale="39" zoomScaleNormal="51" workbookViewId="0">
      <selection activeCell="V13" sqref="V13"/>
    </sheetView>
  </sheetViews>
  <sheetFormatPr defaultRowHeight="25.8" x14ac:dyDescent="0.5"/>
  <cols>
    <col min="1" max="1" width="8.6640625" style="25" customWidth="1"/>
    <col min="2" max="2" width="38.5546875" style="6" customWidth="1"/>
    <col min="3" max="3" width="47.77734375" style="6" customWidth="1"/>
    <col min="4" max="4" width="45.21875" style="6" customWidth="1"/>
    <col min="5" max="5" width="32.6640625" style="8" customWidth="1"/>
    <col min="6" max="6" width="8.88671875" style="6" customWidth="1"/>
    <col min="7" max="7" width="8.88671875" style="6"/>
    <col min="8" max="8" width="29.109375" style="6" customWidth="1"/>
    <col min="9" max="9" width="37.109375" style="6" customWidth="1"/>
    <col min="10" max="10" width="29.109375" style="6" customWidth="1"/>
    <col min="11" max="11" width="34.109375" style="6" customWidth="1"/>
    <col min="12" max="12" width="11.109375" style="6" customWidth="1"/>
    <col min="13" max="13" width="14.77734375" style="6" customWidth="1"/>
    <col min="14" max="14" width="28.21875" style="6" customWidth="1"/>
    <col min="15" max="15" width="35.109375" style="6" customWidth="1"/>
    <col min="16" max="16" width="26.21875" style="6" customWidth="1"/>
    <col min="17" max="17" width="34" style="6" customWidth="1"/>
    <col min="18" max="19" width="8.88671875" style="6"/>
    <col min="20" max="20" width="36.109375" style="6" customWidth="1"/>
    <col min="21" max="21" width="29.5546875" style="6" customWidth="1"/>
    <col min="22" max="22" width="30" style="6" customWidth="1"/>
    <col min="23" max="23" width="25.21875" style="6" customWidth="1"/>
    <col min="24" max="24" width="20.109375" style="6" customWidth="1"/>
    <col min="25" max="16384" width="8.88671875" style="6"/>
  </cols>
  <sheetData>
    <row r="1" spans="1:24" ht="19.95" customHeight="1" x14ac:dyDescent="0.5"/>
    <row r="2" spans="1:24" ht="79.95" customHeight="1" x14ac:dyDescent="0.5">
      <c r="B2" s="78" t="s">
        <v>43</v>
      </c>
      <c r="C2" s="78"/>
      <c r="D2" s="78"/>
      <c r="E2" s="78"/>
      <c r="F2" s="78"/>
      <c r="G2" s="78"/>
      <c r="H2" s="78"/>
      <c r="I2" s="78"/>
      <c r="J2" s="78"/>
      <c r="K2" s="78"/>
      <c r="L2" s="78"/>
      <c r="M2" s="78"/>
      <c r="N2" s="78"/>
      <c r="O2" s="78"/>
      <c r="P2" s="78"/>
      <c r="Q2" s="78"/>
    </row>
    <row r="3" spans="1:24" ht="79.95" customHeight="1" x14ac:dyDescent="0.5">
      <c r="A3" s="27" t="s">
        <v>47</v>
      </c>
      <c r="B3" s="5" t="s">
        <v>17</v>
      </c>
      <c r="C3" s="5" t="s">
        <v>18</v>
      </c>
      <c r="D3" s="5" t="s">
        <v>19</v>
      </c>
      <c r="E3" s="5" t="s">
        <v>20</v>
      </c>
      <c r="G3" s="27" t="s">
        <v>47</v>
      </c>
      <c r="H3" s="5" t="s">
        <v>17</v>
      </c>
      <c r="I3" s="5" t="s">
        <v>18</v>
      </c>
      <c r="J3" s="5" t="s">
        <v>19</v>
      </c>
      <c r="K3" s="5" t="s">
        <v>20</v>
      </c>
      <c r="M3" s="27" t="s">
        <v>47</v>
      </c>
      <c r="N3" s="5" t="s">
        <v>17</v>
      </c>
      <c r="O3" s="5" t="s">
        <v>18</v>
      </c>
      <c r="P3" s="5" t="s">
        <v>19</v>
      </c>
      <c r="Q3" s="5" t="s">
        <v>20</v>
      </c>
      <c r="T3" s="30"/>
      <c r="U3" s="68" t="s">
        <v>48</v>
      </c>
      <c r="V3" s="80"/>
      <c r="W3" s="80"/>
      <c r="X3" s="80"/>
    </row>
    <row r="4" spans="1:24" ht="79.95" customHeight="1" x14ac:dyDescent="0.5">
      <c r="A4" s="64">
        <v>1</v>
      </c>
      <c r="B4" s="17" t="s">
        <v>21</v>
      </c>
      <c r="C4" s="17" t="s">
        <v>68</v>
      </c>
      <c r="D4" s="17" t="s">
        <v>23</v>
      </c>
      <c r="E4" s="16" t="s">
        <v>24</v>
      </c>
      <c r="G4" s="16">
        <v>1</v>
      </c>
      <c r="H4" s="17" t="s">
        <v>21</v>
      </c>
      <c r="I4" s="17" t="s">
        <v>22</v>
      </c>
      <c r="J4" s="17" t="s">
        <v>23</v>
      </c>
      <c r="K4" s="16" t="s">
        <v>24</v>
      </c>
      <c r="M4" s="16">
        <v>1</v>
      </c>
      <c r="N4" s="17" t="s">
        <v>21</v>
      </c>
      <c r="O4" s="17" t="s">
        <v>22</v>
      </c>
      <c r="P4" s="17" t="s">
        <v>23</v>
      </c>
      <c r="Q4" s="16" t="s">
        <v>24</v>
      </c>
      <c r="T4" s="31"/>
      <c r="U4" s="28" t="s">
        <v>44</v>
      </c>
      <c r="V4" s="24" t="s">
        <v>45</v>
      </c>
      <c r="W4" s="29" t="s">
        <v>46</v>
      </c>
      <c r="X4" s="81" t="s">
        <v>98</v>
      </c>
    </row>
    <row r="5" spans="1:24" ht="79.95" customHeight="1" x14ac:dyDescent="0.5">
      <c r="A5" s="64">
        <v>1</v>
      </c>
      <c r="B5" s="19" t="s">
        <v>25</v>
      </c>
      <c r="C5" s="19" t="s">
        <v>36</v>
      </c>
      <c r="D5" s="19" t="s">
        <v>26</v>
      </c>
      <c r="E5" s="18" t="s">
        <v>24</v>
      </c>
      <c r="G5" s="26">
        <v>1</v>
      </c>
      <c r="H5" s="23" t="s">
        <v>25</v>
      </c>
      <c r="I5" s="23" t="s">
        <v>81</v>
      </c>
      <c r="J5" s="23" t="s">
        <v>26</v>
      </c>
      <c r="K5" s="22" t="s">
        <v>24</v>
      </c>
      <c r="M5" s="26">
        <v>1</v>
      </c>
      <c r="N5" s="21" t="s">
        <v>25</v>
      </c>
      <c r="O5" s="21" t="s">
        <v>93</v>
      </c>
      <c r="P5" s="21" t="s">
        <v>26</v>
      </c>
      <c r="Q5" s="20" t="s">
        <v>24</v>
      </c>
      <c r="T5" s="32" t="s">
        <v>49</v>
      </c>
      <c r="U5" s="32">
        <f>COUNTIF(E4:E63, "A")</f>
        <v>21</v>
      </c>
      <c r="V5" s="32">
        <f>COUNTIF(K4:K63, "A")</f>
        <v>34</v>
      </c>
      <c r="W5" s="32">
        <f>COUNTIF(Q4:Q63, "A")</f>
        <v>46</v>
      </c>
      <c r="X5" s="82">
        <f>SUM(U5:W5)</f>
        <v>101</v>
      </c>
    </row>
    <row r="6" spans="1:24" ht="79.95" customHeight="1" x14ac:dyDescent="0.5">
      <c r="A6" s="64">
        <v>1</v>
      </c>
      <c r="B6" s="19" t="s">
        <v>27</v>
      </c>
      <c r="C6" s="19" t="s">
        <v>69</v>
      </c>
      <c r="D6" s="19" t="s">
        <v>28</v>
      </c>
      <c r="E6" s="18" t="s">
        <v>24</v>
      </c>
      <c r="G6" s="26">
        <v>1</v>
      </c>
      <c r="H6" s="23" t="s">
        <v>27</v>
      </c>
      <c r="I6" s="23" t="s">
        <v>37</v>
      </c>
      <c r="J6" s="23" t="s">
        <v>28</v>
      </c>
      <c r="K6" s="22" t="s">
        <v>24</v>
      </c>
      <c r="M6" s="26">
        <v>1</v>
      </c>
      <c r="N6" s="21" t="s">
        <v>27</v>
      </c>
      <c r="O6" s="21" t="s">
        <v>37</v>
      </c>
      <c r="P6" s="21" t="s">
        <v>28</v>
      </c>
      <c r="Q6" s="20" t="s">
        <v>24</v>
      </c>
      <c r="T6" s="33" t="s">
        <v>50</v>
      </c>
      <c r="U6" s="33">
        <f>COUNTIF(E4:E63, "B")</f>
        <v>39</v>
      </c>
      <c r="V6" s="33">
        <f>COUNTIF(K4:K63, "B")</f>
        <v>24</v>
      </c>
      <c r="W6" s="33">
        <f>COUNTIF(Q4:Q63, "B")</f>
        <v>3</v>
      </c>
      <c r="X6" s="82">
        <f t="shared" ref="X6:X8" si="0">SUM(U6:W6)</f>
        <v>66</v>
      </c>
    </row>
    <row r="7" spans="1:24" ht="79.95" customHeight="1" x14ac:dyDescent="0.5">
      <c r="A7" s="64">
        <v>1</v>
      </c>
      <c r="B7" s="19" t="s">
        <v>30</v>
      </c>
      <c r="C7" s="19" t="s">
        <v>70</v>
      </c>
      <c r="D7" s="19" t="s">
        <v>31</v>
      </c>
      <c r="E7" s="18" t="s">
        <v>24</v>
      </c>
      <c r="G7" s="26">
        <v>1</v>
      </c>
      <c r="H7" s="23" t="s">
        <v>30</v>
      </c>
      <c r="I7" s="23" t="s">
        <v>82</v>
      </c>
      <c r="J7" s="23" t="s">
        <v>31</v>
      </c>
      <c r="K7" s="22" t="s">
        <v>29</v>
      </c>
      <c r="M7" s="26">
        <v>1</v>
      </c>
      <c r="N7" s="21" t="s">
        <v>30</v>
      </c>
      <c r="O7" s="21" t="s">
        <v>35</v>
      </c>
      <c r="P7" s="21" t="s">
        <v>31</v>
      </c>
      <c r="Q7" s="20" t="s">
        <v>24</v>
      </c>
      <c r="T7" s="34" t="s">
        <v>34</v>
      </c>
      <c r="U7" s="34">
        <f>COUNTIF(E4:E63, "Tie")</f>
        <v>0</v>
      </c>
      <c r="V7" s="34">
        <f>COUNTIF(K4:K63, "Tie")</f>
        <v>2</v>
      </c>
      <c r="W7" s="34">
        <f>COUNTIF(Q4:Q63, "Tie")</f>
        <v>11</v>
      </c>
      <c r="X7" s="82">
        <f t="shared" si="0"/>
        <v>13</v>
      </c>
    </row>
    <row r="8" spans="1:24" ht="79.95" customHeight="1" x14ac:dyDescent="0.5">
      <c r="A8" s="64">
        <v>1</v>
      </c>
      <c r="B8" s="19" t="s">
        <v>32</v>
      </c>
      <c r="C8" s="19" t="s">
        <v>38</v>
      </c>
      <c r="D8" s="19" t="s">
        <v>33</v>
      </c>
      <c r="E8" s="18" t="s">
        <v>24</v>
      </c>
      <c r="G8" s="26">
        <v>1</v>
      </c>
      <c r="H8" s="23" t="s">
        <v>32</v>
      </c>
      <c r="I8" s="23" t="s">
        <v>83</v>
      </c>
      <c r="J8" s="23" t="s">
        <v>33</v>
      </c>
      <c r="K8" s="22" t="s">
        <v>24</v>
      </c>
      <c r="M8" s="26">
        <v>1</v>
      </c>
      <c r="N8" s="21" t="s">
        <v>32</v>
      </c>
      <c r="O8" s="21" t="s">
        <v>94</v>
      </c>
      <c r="P8" s="21" t="s">
        <v>33</v>
      </c>
      <c r="Q8" s="20" t="s">
        <v>24</v>
      </c>
      <c r="T8" s="35" t="s">
        <v>42</v>
      </c>
      <c r="U8" s="35">
        <f>SUM(U5:U7)</f>
        <v>60</v>
      </c>
      <c r="V8" s="35">
        <f>SUM(V5:V7)</f>
        <v>60</v>
      </c>
      <c r="W8" s="35">
        <f>SUM(W5:W7)</f>
        <v>60</v>
      </c>
      <c r="X8" s="83">
        <f t="shared" si="0"/>
        <v>180</v>
      </c>
    </row>
    <row r="9" spans="1:24" ht="79.95" customHeight="1" x14ac:dyDescent="0.5">
      <c r="A9" s="64">
        <v>2</v>
      </c>
      <c r="B9" s="17" t="s">
        <v>21</v>
      </c>
      <c r="C9" s="17" t="s">
        <v>71</v>
      </c>
      <c r="D9" s="17" t="s">
        <v>23</v>
      </c>
      <c r="E9" s="16" t="s">
        <v>29</v>
      </c>
      <c r="G9" s="16">
        <v>2</v>
      </c>
      <c r="H9" s="17" t="s">
        <v>21</v>
      </c>
      <c r="I9" s="17" t="s">
        <v>84</v>
      </c>
      <c r="J9" s="17" t="s">
        <v>23</v>
      </c>
      <c r="K9" s="16" t="s">
        <v>29</v>
      </c>
      <c r="M9" s="16">
        <v>2</v>
      </c>
      <c r="N9" s="17" t="s">
        <v>21</v>
      </c>
      <c r="O9" s="17" t="s">
        <v>22</v>
      </c>
      <c r="P9" s="17" t="s">
        <v>23</v>
      </c>
      <c r="Q9" s="16" t="s">
        <v>24</v>
      </c>
      <c r="T9" s="36" t="s">
        <v>51</v>
      </c>
      <c r="U9" s="37">
        <f>U5/$U$8*100</f>
        <v>35</v>
      </c>
      <c r="V9" s="37">
        <f t="shared" ref="V9" si="1">V5/$U$8*100</f>
        <v>56.666666666666664</v>
      </c>
      <c r="W9" s="37">
        <f>W5/$U$8*100</f>
        <v>76.666666666666671</v>
      </c>
      <c r="X9" s="84">
        <f>X5/$X$8*100</f>
        <v>56.111111111111114</v>
      </c>
    </row>
    <row r="10" spans="1:24" ht="79.95" customHeight="1" x14ac:dyDescent="0.5">
      <c r="A10" s="64">
        <v>2</v>
      </c>
      <c r="B10" s="19" t="s">
        <v>25</v>
      </c>
      <c r="C10" s="19" t="s">
        <v>72</v>
      </c>
      <c r="D10" s="19" t="s">
        <v>26</v>
      </c>
      <c r="E10" s="18" t="s">
        <v>24</v>
      </c>
      <c r="G10" s="26">
        <v>2</v>
      </c>
      <c r="H10" s="23" t="s">
        <v>25</v>
      </c>
      <c r="I10" s="23" t="s">
        <v>85</v>
      </c>
      <c r="J10" s="23" t="s">
        <v>26</v>
      </c>
      <c r="K10" s="22" t="s">
        <v>24</v>
      </c>
      <c r="M10" s="26">
        <v>2</v>
      </c>
      <c r="N10" s="21" t="s">
        <v>25</v>
      </c>
      <c r="O10" s="21" t="s">
        <v>95</v>
      </c>
      <c r="P10" s="21" t="s">
        <v>26</v>
      </c>
      <c r="Q10" s="20" t="s">
        <v>24</v>
      </c>
      <c r="T10" s="38" t="s">
        <v>52</v>
      </c>
      <c r="U10" s="39">
        <f>U6/$U$8*100</f>
        <v>65</v>
      </c>
      <c r="V10" s="39">
        <f>V6/$U$8*100</f>
        <v>40</v>
      </c>
      <c r="W10" s="39">
        <f t="shared" ref="W10" si="2">W6/$U$8*100</f>
        <v>5</v>
      </c>
      <c r="X10" s="84">
        <f>X6/$X$8*100</f>
        <v>36.666666666666664</v>
      </c>
    </row>
    <row r="11" spans="1:24" ht="79.95" customHeight="1" x14ac:dyDescent="0.5">
      <c r="A11" s="64">
        <v>2</v>
      </c>
      <c r="B11" s="19" t="s">
        <v>27</v>
      </c>
      <c r="C11" s="19" t="s">
        <v>73</v>
      </c>
      <c r="D11" s="19" t="s">
        <v>28</v>
      </c>
      <c r="E11" s="18" t="s">
        <v>29</v>
      </c>
      <c r="G11" s="26">
        <v>2</v>
      </c>
      <c r="H11" s="23" t="s">
        <v>27</v>
      </c>
      <c r="I11" s="23" t="s">
        <v>37</v>
      </c>
      <c r="J11" s="23" t="s">
        <v>28</v>
      </c>
      <c r="K11" s="22" t="s">
        <v>24</v>
      </c>
      <c r="M11" s="26">
        <v>2</v>
      </c>
      <c r="N11" s="21" t="s">
        <v>27</v>
      </c>
      <c r="O11" s="21" t="s">
        <v>37</v>
      </c>
      <c r="P11" s="21" t="s">
        <v>28</v>
      </c>
      <c r="Q11" s="20" t="s">
        <v>24</v>
      </c>
      <c r="T11" s="40" t="s">
        <v>53</v>
      </c>
      <c r="U11" s="41">
        <f>U7/$U$8*100</f>
        <v>0</v>
      </c>
      <c r="V11" s="41">
        <f t="shared" ref="V11:W11" si="3">V7/$U$8*100</f>
        <v>3.3333333333333335</v>
      </c>
      <c r="W11" s="41">
        <f t="shared" si="3"/>
        <v>18.333333333333332</v>
      </c>
      <c r="X11" s="84">
        <f>X7/$X$8*100</f>
        <v>7.2222222222222214</v>
      </c>
    </row>
    <row r="12" spans="1:24" ht="79.95" customHeight="1" x14ac:dyDescent="0.5">
      <c r="A12" s="64">
        <v>2</v>
      </c>
      <c r="B12" s="19" t="s">
        <v>30</v>
      </c>
      <c r="C12" s="19" t="s">
        <v>74</v>
      </c>
      <c r="D12" s="19" t="s">
        <v>31</v>
      </c>
      <c r="E12" s="18" t="s">
        <v>29</v>
      </c>
      <c r="G12" s="26">
        <v>2</v>
      </c>
      <c r="H12" s="23" t="s">
        <v>30</v>
      </c>
      <c r="I12" s="23" t="s">
        <v>86</v>
      </c>
      <c r="J12" s="23" t="s">
        <v>31</v>
      </c>
      <c r="K12" s="22" t="s">
        <v>29</v>
      </c>
      <c r="M12" s="26">
        <v>2</v>
      </c>
      <c r="N12" s="21" t="s">
        <v>30</v>
      </c>
      <c r="O12" s="21" t="s">
        <v>31</v>
      </c>
      <c r="P12" s="21" t="s">
        <v>31</v>
      </c>
      <c r="Q12" s="20" t="s">
        <v>34</v>
      </c>
    </row>
    <row r="13" spans="1:24" ht="79.95" customHeight="1" x14ac:dyDescent="0.5">
      <c r="A13" s="64">
        <v>2</v>
      </c>
      <c r="B13" s="19" t="s">
        <v>32</v>
      </c>
      <c r="C13" s="19" t="s">
        <v>75</v>
      </c>
      <c r="D13" s="19" t="s">
        <v>33</v>
      </c>
      <c r="E13" s="18" t="s">
        <v>24</v>
      </c>
      <c r="G13" s="26">
        <v>2</v>
      </c>
      <c r="H13" s="23" t="s">
        <v>32</v>
      </c>
      <c r="I13" s="23" t="s">
        <v>87</v>
      </c>
      <c r="J13" s="23" t="s">
        <v>33</v>
      </c>
      <c r="K13" s="22" t="s">
        <v>24</v>
      </c>
      <c r="M13" s="26">
        <v>2</v>
      </c>
      <c r="N13" s="21" t="s">
        <v>32</v>
      </c>
      <c r="O13" s="21" t="s">
        <v>87</v>
      </c>
      <c r="P13" s="21" t="s">
        <v>33</v>
      </c>
      <c r="Q13" s="20" t="s">
        <v>24</v>
      </c>
    </row>
    <row r="14" spans="1:24" ht="79.95" customHeight="1" x14ac:dyDescent="0.5">
      <c r="A14" s="64">
        <v>3</v>
      </c>
      <c r="B14" s="17" t="s">
        <v>21</v>
      </c>
      <c r="C14" s="17" t="s">
        <v>22</v>
      </c>
      <c r="D14" s="17" t="s">
        <v>23</v>
      </c>
      <c r="E14" s="16" t="s">
        <v>24</v>
      </c>
      <c r="G14" s="16">
        <v>3</v>
      </c>
      <c r="H14" s="17" t="s">
        <v>21</v>
      </c>
      <c r="I14" s="17" t="s">
        <v>88</v>
      </c>
      <c r="J14" s="17" t="s">
        <v>23</v>
      </c>
      <c r="K14" s="16" t="s">
        <v>29</v>
      </c>
      <c r="M14" s="16">
        <v>3</v>
      </c>
      <c r="N14" s="17" t="s">
        <v>21</v>
      </c>
      <c r="O14" s="17" t="s">
        <v>96</v>
      </c>
      <c r="P14" s="17" t="s">
        <v>23</v>
      </c>
      <c r="Q14" s="16" t="s">
        <v>24</v>
      </c>
    </row>
    <row r="15" spans="1:24" ht="79.95" customHeight="1" x14ac:dyDescent="0.5">
      <c r="A15" s="64">
        <v>3</v>
      </c>
      <c r="B15" s="19" t="s">
        <v>25</v>
      </c>
      <c r="C15" s="19" t="s">
        <v>76</v>
      </c>
      <c r="D15" s="19" t="s">
        <v>26</v>
      </c>
      <c r="E15" s="18" t="s">
        <v>29</v>
      </c>
      <c r="G15" s="26">
        <v>3</v>
      </c>
      <c r="H15" s="23" t="s">
        <v>25</v>
      </c>
      <c r="I15" s="23" t="s">
        <v>89</v>
      </c>
      <c r="J15" s="23" t="s">
        <v>26</v>
      </c>
      <c r="K15" s="22" t="s">
        <v>24</v>
      </c>
      <c r="M15" s="26">
        <v>3</v>
      </c>
      <c r="N15" s="21" t="s">
        <v>25</v>
      </c>
      <c r="O15" s="21" t="s">
        <v>97</v>
      </c>
      <c r="P15" s="21" t="s">
        <v>26</v>
      </c>
      <c r="Q15" s="20" t="s">
        <v>24</v>
      </c>
    </row>
    <row r="16" spans="1:24" ht="79.95" customHeight="1" x14ac:dyDescent="0.5">
      <c r="A16" s="64">
        <v>3</v>
      </c>
      <c r="B16" s="19" t="s">
        <v>27</v>
      </c>
      <c r="C16" s="19" t="s">
        <v>77</v>
      </c>
      <c r="D16" s="19" t="s">
        <v>28</v>
      </c>
      <c r="E16" s="18" t="s">
        <v>29</v>
      </c>
      <c r="G16" s="26">
        <v>3</v>
      </c>
      <c r="H16" s="23" t="s">
        <v>27</v>
      </c>
      <c r="I16" s="23" t="s">
        <v>37</v>
      </c>
      <c r="J16" s="23" t="s">
        <v>28</v>
      </c>
      <c r="K16" s="22" t="s">
        <v>24</v>
      </c>
      <c r="M16" s="26">
        <v>3</v>
      </c>
      <c r="N16" s="21" t="s">
        <v>27</v>
      </c>
      <c r="O16" s="21" t="s">
        <v>37</v>
      </c>
      <c r="P16" s="21" t="s">
        <v>28</v>
      </c>
      <c r="Q16" s="20" t="s">
        <v>24</v>
      </c>
    </row>
    <row r="17" spans="1:17" ht="79.95" customHeight="1" x14ac:dyDescent="0.5">
      <c r="A17" s="64">
        <v>3</v>
      </c>
      <c r="B17" s="19" t="s">
        <v>30</v>
      </c>
      <c r="C17" s="19" t="s">
        <v>77</v>
      </c>
      <c r="D17" s="19" t="s">
        <v>31</v>
      </c>
      <c r="E17" s="18" t="s">
        <v>29</v>
      </c>
      <c r="G17" s="26">
        <v>3</v>
      </c>
      <c r="H17" s="23" t="s">
        <v>30</v>
      </c>
      <c r="I17" s="23" t="s">
        <v>90</v>
      </c>
      <c r="J17" s="23" t="s">
        <v>31</v>
      </c>
      <c r="K17" s="22" t="s">
        <v>29</v>
      </c>
      <c r="M17" s="26">
        <v>3</v>
      </c>
      <c r="N17" s="21" t="s">
        <v>30</v>
      </c>
      <c r="O17" s="21" t="s">
        <v>35</v>
      </c>
      <c r="P17" s="21" t="s">
        <v>31</v>
      </c>
      <c r="Q17" s="20" t="s">
        <v>24</v>
      </c>
    </row>
    <row r="18" spans="1:17" ht="79.95" customHeight="1" x14ac:dyDescent="0.5">
      <c r="A18" s="64">
        <v>3</v>
      </c>
      <c r="B18" s="19" t="s">
        <v>32</v>
      </c>
      <c r="C18" s="19" t="s">
        <v>76</v>
      </c>
      <c r="D18" s="19" t="s">
        <v>33</v>
      </c>
      <c r="E18" s="18" t="s">
        <v>29</v>
      </c>
      <c r="G18" s="26">
        <v>3</v>
      </c>
      <c r="H18" s="23" t="s">
        <v>32</v>
      </c>
      <c r="I18" s="23" t="s">
        <v>91</v>
      </c>
      <c r="J18" s="23" t="s">
        <v>33</v>
      </c>
      <c r="K18" s="22" t="s">
        <v>24</v>
      </c>
      <c r="M18" s="26">
        <v>3</v>
      </c>
      <c r="N18" s="21" t="s">
        <v>32</v>
      </c>
      <c r="O18" s="21" t="s">
        <v>87</v>
      </c>
      <c r="P18" s="21" t="s">
        <v>33</v>
      </c>
      <c r="Q18" s="20" t="s">
        <v>24</v>
      </c>
    </row>
    <row r="19" spans="1:17" ht="79.95" customHeight="1" x14ac:dyDescent="0.5">
      <c r="A19" s="64">
        <v>4</v>
      </c>
      <c r="B19" s="17" t="s">
        <v>21</v>
      </c>
      <c r="C19" s="17" t="s">
        <v>71</v>
      </c>
      <c r="D19" s="17" t="s">
        <v>23</v>
      </c>
      <c r="E19" s="16" t="s">
        <v>29</v>
      </c>
      <c r="G19" s="16">
        <v>4</v>
      </c>
      <c r="H19" s="17" t="s">
        <v>21</v>
      </c>
      <c r="I19" s="17" t="s">
        <v>92</v>
      </c>
      <c r="J19" s="17" t="s">
        <v>23</v>
      </c>
      <c r="K19" s="16" t="s">
        <v>29</v>
      </c>
      <c r="M19" s="16">
        <v>4</v>
      </c>
      <c r="N19" s="17" t="s">
        <v>21</v>
      </c>
      <c r="O19" s="17" t="s">
        <v>22</v>
      </c>
      <c r="P19" s="17" t="s">
        <v>23</v>
      </c>
      <c r="Q19" s="16" t="s">
        <v>24</v>
      </c>
    </row>
    <row r="20" spans="1:17" ht="79.95" customHeight="1" x14ac:dyDescent="0.5">
      <c r="A20" s="64">
        <v>4</v>
      </c>
      <c r="B20" s="19" t="s">
        <v>25</v>
      </c>
      <c r="C20" s="19" t="s">
        <v>78</v>
      </c>
      <c r="D20" s="19" t="s">
        <v>26</v>
      </c>
      <c r="E20" s="18" t="s">
        <v>29</v>
      </c>
      <c r="G20" s="26">
        <v>4</v>
      </c>
      <c r="H20" s="23" t="s">
        <v>25</v>
      </c>
      <c r="I20" s="23" t="s">
        <v>85</v>
      </c>
      <c r="J20" s="23" t="s">
        <v>26</v>
      </c>
      <c r="K20" s="22" t="s">
        <v>24</v>
      </c>
      <c r="M20" s="26">
        <v>4</v>
      </c>
      <c r="N20" s="21" t="s">
        <v>25</v>
      </c>
      <c r="O20" s="21" t="s">
        <v>95</v>
      </c>
      <c r="P20" s="21" t="s">
        <v>26</v>
      </c>
      <c r="Q20" s="20" t="s">
        <v>24</v>
      </c>
    </row>
    <row r="21" spans="1:17" ht="79.95" customHeight="1" x14ac:dyDescent="0.5">
      <c r="A21" s="64">
        <v>4</v>
      </c>
      <c r="B21" s="19" t="s">
        <v>27</v>
      </c>
      <c r="C21" s="19" t="s">
        <v>79</v>
      </c>
      <c r="D21" s="19" t="s">
        <v>28</v>
      </c>
      <c r="E21" s="18" t="s">
        <v>29</v>
      </c>
      <c r="G21" s="26">
        <v>4</v>
      </c>
      <c r="H21" s="23" t="s">
        <v>27</v>
      </c>
      <c r="I21" s="23" t="s">
        <v>37</v>
      </c>
      <c r="J21" s="23" t="s">
        <v>28</v>
      </c>
      <c r="K21" s="22" t="s">
        <v>24</v>
      </c>
      <c r="M21" s="26">
        <v>4</v>
      </c>
      <c r="N21" s="21" t="s">
        <v>27</v>
      </c>
      <c r="O21" s="21" t="s">
        <v>37</v>
      </c>
      <c r="P21" s="21" t="s">
        <v>28</v>
      </c>
      <c r="Q21" s="20" t="s">
        <v>24</v>
      </c>
    </row>
    <row r="22" spans="1:17" ht="79.95" customHeight="1" x14ac:dyDescent="0.5">
      <c r="A22" s="64">
        <v>4</v>
      </c>
      <c r="B22" s="19" t="s">
        <v>30</v>
      </c>
      <c r="C22" s="19" t="s">
        <v>74</v>
      </c>
      <c r="D22" s="19" t="s">
        <v>31</v>
      </c>
      <c r="E22" s="18" t="s">
        <v>29</v>
      </c>
      <c r="G22" s="26">
        <v>4</v>
      </c>
      <c r="H22" s="23" t="s">
        <v>30</v>
      </c>
      <c r="I22" s="23" t="s">
        <v>86</v>
      </c>
      <c r="J22" s="23" t="s">
        <v>31</v>
      </c>
      <c r="K22" s="22" t="s">
        <v>29</v>
      </c>
      <c r="M22" s="26">
        <v>4</v>
      </c>
      <c r="N22" s="21" t="s">
        <v>30</v>
      </c>
      <c r="O22" s="21" t="s">
        <v>31</v>
      </c>
      <c r="P22" s="21" t="s">
        <v>31</v>
      </c>
      <c r="Q22" s="20" t="s">
        <v>34</v>
      </c>
    </row>
    <row r="23" spans="1:17" ht="79.95" customHeight="1" x14ac:dyDescent="0.5">
      <c r="A23" s="64">
        <v>4</v>
      </c>
      <c r="B23" s="19" t="s">
        <v>32</v>
      </c>
      <c r="C23" s="19" t="s">
        <v>80</v>
      </c>
      <c r="D23" s="19" t="s">
        <v>33</v>
      </c>
      <c r="E23" s="18" t="s">
        <v>29</v>
      </c>
      <c r="G23" s="26">
        <v>4</v>
      </c>
      <c r="H23" s="23" t="s">
        <v>32</v>
      </c>
      <c r="I23" s="23" t="s">
        <v>87</v>
      </c>
      <c r="J23" s="23" t="s">
        <v>33</v>
      </c>
      <c r="K23" s="22" t="s">
        <v>24</v>
      </c>
      <c r="M23" s="26">
        <v>4</v>
      </c>
      <c r="N23" s="21" t="s">
        <v>32</v>
      </c>
      <c r="O23" s="21" t="s">
        <v>87</v>
      </c>
      <c r="P23" s="21" t="s">
        <v>33</v>
      </c>
      <c r="Q23" s="20" t="s">
        <v>24</v>
      </c>
    </row>
    <row r="24" spans="1:17" ht="79.95" customHeight="1" x14ac:dyDescent="0.5">
      <c r="A24" s="65">
        <v>1</v>
      </c>
      <c r="B24" s="17" t="s">
        <v>21</v>
      </c>
      <c r="C24" s="17" t="s">
        <v>68</v>
      </c>
      <c r="D24" s="17" t="s">
        <v>23</v>
      </c>
      <c r="E24" s="16" t="s">
        <v>29</v>
      </c>
      <c r="F24" s="60"/>
      <c r="G24" s="16">
        <v>1</v>
      </c>
      <c r="H24" s="17" t="s">
        <v>21</v>
      </c>
      <c r="I24" s="17" t="s">
        <v>22</v>
      </c>
      <c r="J24" s="17" t="s">
        <v>23</v>
      </c>
      <c r="K24" s="16" t="s">
        <v>24</v>
      </c>
      <c r="L24" s="60"/>
      <c r="M24" s="16">
        <v>1</v>
      </c>
      <c r="N24" s="17" t="s">
        <v>21</v>
      </c>
      <c r="O24" s="17" t="s">
        <v>22</v>
      </c>
      <c r="P24" s="17" t="s">
        <v>23</v>
      </c>
      <c r="Q24" s="16" t="s">
        <v>24</v>
      </c>
    </row>
    <row r="25" spans="1:17" ht="79.95" customHeight="1" x14ac:dyDescent="0.5">
      <c r="A25" s="65">
        <v>1</v>
      </c>
      <c r="B25" s="19" t="s">
        <v>25</v>
      </c>
      <c r="C25" s="19" t="s">
        <v>36</v>
      </c>
      <c r="D25" s="19" t="s">
        <v>26</v>
      </c>
      <c r="E25" s="18" t="s">
        <v>24</v>
      </c>
      <c r="G25" s="26">
        <v>1</v>
      </c>
      <c r="H25" s="23" t="s">
        <v>25</v>
      </c>
      <c r="I25" s="23" t="s">
        <v>81</v>
      </c>
      <c r="J25" s="23" t="s">
        <v>26</v>
      </c>
      <c r="K25" s="22" t="s">
        <v>24</v>
      </c>
      <c r="M25" s="26">
        <v>1</v>
      </c>
      <c r="N25" s="21" t="s">
        <v>25</v>
      </c>
      <c r="O25" s="21" t="s">
        <v>93</v>
      </c>
      <c r="P25" s="21" t="s">
        <v>26</v>
      </c>
      <c r="Q25" s="20" t="s">
        <v>24</v>
      </c>
    </row>
    <row r="26" spans="1:17" ht="79.95" customHeight="1" x14ac:dyDescent="0.5">
      <c r="A26" s="65">
        <v>1</v>
      </c>
      <c r="B26" s="19" t="s">
        <v>27</v>
      </c>
      <c r="C26" s="19" t="s">
        <v>69</v>
      </c>
      <c r="D26" s="19" t="s">
        <v>28</v>
      </c>
      <c r="E26" s="18" t="s">
        <v>24</v>
      </c>
      <c r="G26" s="26">
        <v>1</v>
      </c>
      <c r="H26" s="23" t="s">
        <v>27</v>
      </c>
      <c r="I26" s="23" t="s">
        <v>37</v>
      </c>
      <c r="J26" s="23" t="s">
        <v>28</v>
      </c>
      <c r="K26" s="22" t="s">
        <v>24</v>
      </c>
      <c r="M26" s="26">
        <v>1</v>
      </c>
      <c r="N26" s="21" t="s">
        <v>27</v>
      </c>
      <c r="O26" s="21" t="s">
        <v>37</v>
      </c>
      <c r="P26" s="21" t="s">
        <v>28</v>
      </c>
      <c r="Q26" s="20" t="s">
        <v>24</v>
      </c>
    </row>
    <row r="27" spans="1:17" ht="79.95" customHeight="1" x14ac:dyDescent="0.5">
      <c r="A27" s="65">
        <v>1</v>
      </c>
      <c r="B27" s="19" t="s">
        <v>30</v>
      </c>
      <c r="C27" s="19" t="s">
        <v>70</v>
      </c>
      <c r="D27" s="19" t="s">
        <v>31</v>
      </c>
      <c r="E27" s="18" t="s">
        <v>29</v>
      </c>
      <c r="G27" s="26">
        <v>1</v>
      </c>
      <c r="H27" s="23" t="s">
        <v>30</v>
      </c>
      <c r="I27" s="23" t="s">
        <v>82</v>
      </c>
      <c r="J27" s="23" t="s">
        <v>31</v>
      </c>
      <c r="K27" s="22" t="s">
        <v>29</v>
      </c>
      <c r="M27" s="26">
        <v>1</v>
      </c>
      <c r="N27" s="21" t="s">
        <v>30</v>
      </c>
      <c r="O27" s="21" t="s">
        <v>35</v>
      </c>
      <c r="P27" s="21" t="s">
        <v>31</v>
      </c>
      <c r="Q27" s="20" t="s">
        <v>24</v>
      </c>
    </row>
    <row r="28" spans="1:17" ht="79.95" customHeight="1" x14ac:dyDescent="0.5">
      <c r="A28" s="65">
        <v>1</v>
      </c>
      <c r="B28" s="19" t="s">
        <v>32</v>
      </c>
      <c r="C28" s="19" t="s">
        <v>38</v>
      </c>
      <c r="D28" s="19" t="s">
        <v>33</v>
      </c>
      <c r="E28" s="18" t="s">
        <v>24</v>
      </c>
      <c r="G28" s="26">
        <v>1</v>
      </c>
      <c r="H28" s="23" t="s">
        <v>32</v>
      </c>
      <c r="I28" s="23" t="s">
        <v>83</v>
      </c>
      <c r="J28" s="23" t="s">
        <v>33</v>
      </c>
      <c r="K28" s="22" t="s">
        <v>24</v>
      </c>
      <c r="M28" s="26">
        <v>1</v>
      </c>
      <c r="N28" s="21" t="s">
        <v>32</v>
      </c>
      <c r="O28" s="21" t="s">
        <v>94</v>
      </c>
      <c r="P28" s="21" t="s">
        <v>33</v>
      </c>
      <c r="Q28" s="20" t="s">
        <v>29</v>
      </c>
    </row>
    <row r="29" spans="1:17" ht="79.95" customHeight="1" x14ac:dyDescent="0.5">
      <c r="A29" s="65">
        <v>2</v>
      </c>
      <c r="B29" s="17" t="s">
        <v>21</v>
      </c>
      <c r="C29" s="17" t="s">
        <v>71</v>
      </c>
      <c r="D29" s="17" t="s">
        <v>23</v>
      </c>
      <c r="E29" s="16" t="s">
        <v>29</v>
      </c>
      <c r="G29" s="16">
        <v>2</v>
      </c>
      <c r="H29" s="17" t="s">
        <v>21</v>
      </c>
      <c r="I29" s="17" t="s">
        <v>84</v>
      </c>
      <c r="J29" s="17" t="s">
        <v>23</v>
      </c>
      <c r="K29" s="16" t="s">
        <v>29</v>
      </c>
      <c r="M29" s="16">
        <v>2</v>
      </c>
      <c r="N29" s="17" t="s">
        <v>21</v>
      </c>
      <c r="O29" s="17" t="s">
        <v>22</v>
      </c>
      <c r="P29" s="17" t="s">
        <v>23</v>
      </c>
      <c r="Q29" s="16" t="s">
        <v>24</v>
      </c>
    </row>
    <row r="30" spans="1:17" ht="79.95" customHeight="1" x14ac:dyDescent="0.5">
      <c r="A30" s="65">
        <v>2</v>
      </c>
      <c r="B30" s="19" t="s">
        <v>25</v>
      </c>
      <c r="C30" s="19" t="s">
        <v>72</v>
      </c>
      <c r="D30" s="19" t="s">
        <v>26</v>
      </c>
      <c r="E30" s="18" t="s">
        <v>29</v>
      </c>
      <c r="G30" s="26">
        <v>2</v>
      </c>
      <c r="H30" s="23" t="s">
        <v>25</v>
      </c>
      <c r="I30" s="23" t="s">
        <v>85</v>
      </c>
      <c r="J30" s="23" t="s">
        <v>26</v>
      </c>
      <c r="K30" s="22" t="s">
        <v>24</v>
      </c>
      <c r="M30" s="26">
        <v>2</v>
      </c>
      <c r="N30" s="21" t="s">
        <v>25</v>
      </c>
      <c r="O30" s="21" t="s">
        <v>95</v>
      </c>
      <c r="P30" s="21" t="s">
        <v>26</v>
      </c>
      <c r="Q30" s="20" t="s">
        <v>24</v>
      </c>
    </row>
    <row r="31" spans="1:17" ht="79.95" customHeight="1" x14ac:dyDescent="0.5">
      <c r="A31" s="65">
        <v>2</v>
      </c>
      <c r="B31" s="19" t="s">
        <v>27</v>
      </c>
      <c r="C31" s="19" t="s">
        <v>73</v>
      </c>
      <c r="D31" s="19" t="s">
        <v>28</v>
      </c>
      <c r="E31" s="18" t="s">
        <v>29</v>
      </c>
      <c r="G31" s="26">
        <v>2</v>
      </c>
      <c r="H31" s="23" t="s">
        <v>27</v>
      </c>
      <c r="I31" s="23" t="s">
        <v>37</v>
      </c>
      <c r="J31" s="23" t="s">
        <v>28</v>
      </c>
      <c r="K31" s="22" t="s">
        <v>24</v>
      </c>
      <c r="M31" s="26">
        <v>2</v>
      </c>
      <c r="N31" s="21" t="s">
        <v>27</v>
      </c>
      <c r="O31" s="21" t="s">
        <v>37</v>
      </c>
      <c r="P31" s="21" t="s">
        <v>28</v>
      </c>
      <c r="Q31" s="20" t="s">
        <v>24</v>
      </c>
    </row>
    <row r="32" spans="1:17" ht="79.95" customHeight="1" x14ac:dyDescent="0.5">
      <c r="A32" s="65">
        <v>2</v>
      </c>
      <c r="B32" s="19" t="s">
        <v>30</v>
      </c>
      <c r="C32" s="19" t="s">
        <v>74</v>
      </c>
      <c r="D32" s="19" t="s">
        <v>31</v>
      </c>
      <c r="E32" s="18" t="s">
        <v>29</v>
      </c>
      <c r="G32" s="26">
        <v>2</v>
      </c>
      <c r="H32" s="23" t="s">
        <v>30</v>
      </c>
      <c r="I32" s="23" t="s">
        <v>86</v>
      </c>
      <c r="J32" s="23" t="s">
        <v>31</v>
      </c>
      <c r="K32" s="22" t="s">
        <v>29</v>
      </c>
      <c r="M32" s="26">
        <v>2</v>
      </c>
      <c r="N32" s="21" t="s">
        <v>30</v>
      </c>
      <c r="O32" s="21" t="s">
        <v>31</v>
      </c>
      <c r="P32" s="21" t="s">
        <v>31</v>
      </c>
      <c r="Q32" s="20" t="s">
        <v>34</v>
      </c>
    </row>
    <row r="33" spans="1:17" ht="79.95" customHeight="1" x14ac:dyDescent="0.5">
      <c r="A33" s="65">
        <v>2</v>
      </c>
      <c r="B33" s="19" t="s">
        <v>32</v>
      </c>
      <c r="C33" s="19" t="s">
        <v>75</v>
      </c>
      <c r="D33" s="19" t="s">
        <v>33</v>
      </c>
      <c r="E33" s="18" t="s">
        <v>24</v>
      </c>
      <c r="G33" s="26">
        <v>2</v>
      </c>
      <c r="H33" s="23" t="s">
        <v>32</v>
      </c>
      <c r="I33" s="23" t="s">
        <v>87</v>
      </c>
      <c r="J33" s="23" t="s">
        <v>33</v>
      </c>
      <c r="K33" s="22" t="s">
        <v>24</v>
      </c>
      <c r="M33" s="26">
        <v>2</v>
      </c>
      <c r="N33" s="21" t="s">
        <v>32</v>
      </c>
      <c r="O33" s="21" t="s">
        <v>87</v>
      </c>
      <c r="P33" s="21" t="s">
        <v>33</v>
      </c>
      <c r="Q33" s="20" t="s">
        <v>24</v>
      </c>
    </row>
    <row r="34" spans="1:17" ht="79.95" customHeight="1" x14ac:dyDescent="0.5">
      <c r="A34" s="65">
        <v>3</v>
      </c>
      <c r="B34" s="17" t="s">
        <v>21</v>
      </c>
      <c r="C34" s="17" t="s">
        <v>22</v>
      </c>
      <c r="D34" s="17" t="s">
        <v>23</v>
      </c>
      <c r="E34" s="16" t="s">
        <v>24</v>
      </c>
      <c r="G34" s="16">
        <v>3</v>
      </c>
      <c r="H34" s="17" t="s">
        <v>21</v>
      </c>
      <c r="I34" s="17" t="s">
        <v>88</v>
      </c>
      <c r="J34" s="17" t="s">
        <v>23</v>
      </c>
      <c r="K34" s="16" t="s">
        <v>29</v>
      </c>
      <c r="M34" s="16">
        <v>3</v>
      </c>
      <c r="N34" s="17" t="s">
        <v>21</v>
      </c>
      <c r="O34" s="17" t="s">
        <v>96</v>
      </c>
      <c r="P34" s="17" t="s">
        <v>23</v>
      </c>
      <c r="Q34" s="16" t="s">
        <v>34</v>
      </c>
    </row>
    <row r="35" spans="1:17" ht="79.95" customHeight="1" x14ac:dyDescent="0.5">
      <c r="A35" s="65">
        <v>3</v>
      </c>
      <c r="B35" s="19" t="s">
        <v>25</v>
      </c>
      <c r="C35" s="19" t="s">
        <v>76</v>
      </c>
      <c r="D35" s="19" t="s">
        <v>26</v>
      </c>
      <c r="E35" s="18" t="s">
        <v>29</v>
      </c>
      <c r="G35" s="26">
        <v>3</v>
      </c>
      <c r="H35" s="23" t="s">
        <v>25</v>
      </c>
      <c r="I35" s="23" t="s">
        <v>89</v>
      </c>
      <c r="J35" s="23" t="s">
        <v>26</v>
      </c>
      <c r="K35" s="22" t="s">
        <v>24</v>
      </c>
      <c r="M35" s="26">
        <v>3</v>
      </c>
      <c r="N35" s="21" t="s">
        <v>25</v>
      </c>
      <c r="O35" s="21" t="s">
        <v>97</v>
      </c>
      <c r="P35" s="21" t="s">
        <v>26</v>
      </c>
      <c r="Q35" s="20" t="s">
        <v>24</v>
      </c>
    </row>
    <row r="36" spans="1:17" ht="79.95" customHeight="1" x14ac:dyDescent="0.5">
      <c r="A36" s="65">
        <v>3</v>
      </c>
      <c r="B36" s="19" t="s">
        <v>27</v>
      </c>
      <c r="C36" s="19" t="s">
        <v>77</v>
      </c>
      <c r="D36" s="19" t="s">
        <v>28</v>
      </c>
      <c r="E36" s="18" t="s">
        <v>29</v>
      </c>
      <c r="G36" s="26">
        <v>3</v>
      </c>
      <c r="H36" s="23" t="s">
        <v>27</v>
      </c>
      <c r="I36" s="23" t="s">
        <v>37</v>
      </c>
      <c r="J36" s="23" t="s">
        <v>28</v>
      </c>
      <c r="K36" s="22" t="s">
        <v>24</v>
      </c>
      <c r="M36" s="26">
        <v>3</v>
      </c>
      <c r="N36" s="21" t="s">
        <v>27</v>
      </c>
      <c r="O36" s="21" t="s">
        <v>37</v>
      </c>
      <c r="P36" s="21" t="s">
        <v>28</v>
      </c>
      <c r="Q36" s="20" t="s">
        <v>24</v>
      </c>
    </row>
    <row r="37" spans="1:17" ht="79.95" customHeight="1" x14ac:dyDescent="0.5">
      <c r="A37" s="65">
        <v>3</v>
      </c>
      <c r="B37" s="19" t="s">
        <v>30</v>
      </c>
      <c r="C37" s="19" t="s">
        <v>77</v>
      </c>
      <c r="D37" s="19" t="s">
        <v>31</v>
      </c>
      <c r="E37" s="18" t="s">
        <v>29</v>
      </c>
      <c r="G37" s="26">
        <v>3</v>
      </c>
      <c r="H37" s="23" t="s">
        <v>30</v>
      </c>
      <c r="I37" s="23" t="s">
        <v>90</v>
      </c>
      <c r="J37" s="23" t="s">
        <v>31</v>
      </c>
      <c r="K37" s="22" t="s">
        <v>24</v>
      </c>
      <c r="M37" s="26">
        <v>3</v>
      </c>
      <c r="N37" s="21" t="s">
        <v>30</v>
      </c>
      <c r="O37" s="21" t="s">
        <v>35</v>
      </c>
      <c r="P37" s="21" t="s">
        <v>31</v>
      </c>
      <c r="Q37" s="20" t="s">
        <v>24</v>
      </c>
    </row>
    <row r="38" spans="1:17" ht="79.95" customHeight="1" x14ac:dyDescent="0.5">
      <c r="A38" s="65">
        <v>3</v>
      </c>
      <c r="B38" s="19" t="s">
        <v>32</v>
      </c>
      <c r="C38" s="19" t="s">
        <v>76</v>
      </c>
      <c r="D38" s="19" t="s">
        <v>33</v>
      </c>
      <c r="E38" s="18" t="s">
        <v>29</v>
      </c>
      <c r="G38" s="26">
        <v>3</v>
      </c>
      <c r="H38" s="23" t="s">
        <v>32</v>
      </c>
      <c r="I38" s="23" t="s">
        <v>91</v>
      </c>
      <c r="J38" s="23" t="s">
        <v>33</v>
      </c>
      <c r="K38" s="22" t="s">
        <v>24</v>
      </c>
      <c r="M38" s="26">
        <v>3</v>
      </c>
      <c r="N38" s="21" t="s">
        <v>32</v>
      </c>
      <c r="O38" s="21" t="s">
        <v>87</v>
      </c>
      <c r="P38" s="21" t="s">
        <v>33</v>
      </c>
      <c r="Q38" s="20" t="s">
        <v>24</v>
      </c>
    </row>
    <row r="39" spans="1:17" ht="79.95" customHeight="1" x14ac:dyDescent="0.5">
      <c r="A39" s="65">
        <v>4</v>
      </c>
      <c r="B39" s="17" t="s">
        <v>21</v>
      </c>
      <c r="C39" s="17" t="s">
        <v>71</v>
      </c>
      <c r="D39" s="17" t="s">
        <v>23</v>
      </c>
      <c r="E39" s="16" t="s">
        <v>29</v>
      </c>
      <c r="G39" s="16">
        <v>4</v>
      </c>
      <c r="H39" s="17" t="s">
        <v>21</v>
      </c>
      <c r="I39" s="17" t="s">
        <v>92</v>
      </c>
      <c r="J39" s="17" t="s">
        <v>23</v>
      </c>
      <c r="K39" s="16" t="s">
        <v>29</v>
      </c>
      <c r="M39" s="16">
        <v>4</v>
      </c>
      <c r="N39" s="17" t="s">
        <v>21</v>
      </c>
      <c r="O39" s="17" t="s">
        <v>22</v>
      </c>
      <c r="P39" s="17" t="s">
        <v>23</v>
      </c>
      <c r="Q39" s="16" t="s">
        <v>24</v>
      </c>
    </row>
    <row r="40" spans="1:17" ht="79.95" customHeight="1" x14ac:dyDescent="0.5">
      <c r="A40" s="65">
        <v>4</v>
      </c>
      <c r="B40" s="19" t="s">
        <v>25</v>
      </c>
      <c r="C40" s="19" t="s">
        <v>78</v>
      </c>
      <c r="D40" s="19" t="s">
        <v>26</v>
      </c>
      <c r="E40" s="18" t="s">
        <v>29</v>
      </c>
      <c r="G40" s="7">
        <v>4</v>
      </c>
      <c r="H40" s="23" t="s">
        <v>25</v>
      </c>
      <c r="I40" s="23" t="s">
        <v>85</v>
      </c>
      <c r="J40" s="23" t="s">
        <v>26</v>
      </c>
      <c r="K40" s="22" t="s">
        <v>24</v>
      </c>
      <c r="M40" s="7">
        <v>4</v>
      </c>
      <c r="N40" s="21" t="s">
        <v>25</v>
      </c>
      <c r="O40" s="21" t="s">
        <v>95</v>
      </c>
      <c r="P40" s="21" t="s">
        <v>26</v>
      </c>
      <c r="Q40" s="20" t="s">
        <v>24</v>
      </c>
    </row>
    <row r="41" spans="1:17" ht="79.95" customHeight="1" x14ac:dyDescent="0.5">
      <c r="A41" s="65">
        <v>4</v>
      </c>
      <c r="B41" s="19" t="s">
        <v>27</v>
      </c>
      <c r="C41" s="19" t="s">
        <v>79</v>
      </c>
      <c r="D41" s="19" t="s">
        <v>28</v>
      </c>
      <c r="E41" s="18" t="s">
        <v>29</v>
      </c>
      <c r="G41" s="7">
        <v>4</v>
      </c>
      <c r="H41" s="23" t="s">
        <v>27</v>
      </c>
      <c r="I41" s="23" t="s">
        <v>37</v>
      </c>
      <c r="J41" s="23" t="s">
        <v>28</v>
      </c>
      <c r="K41" s="22" t="s">
        <v>24</v>
      </c>
      <c r="M41" s="7">
        <v>4</v>
      </c>
      <c r="N41" s="21" t="s">
        <v>27</v>
      </c>
      <c r="O41" s="21" t="s">
        <v>37</v>
      </c>
      <c r="P41" s="21" t="s">
        <v>28</v>
      </c>
      <c r="Q41" s="20" t="s">
        <v>24</v>
      </c>
    </row>
    <row r="42" spans="1:17" ht="79.95" customHeight="1" x14ac:dyDescent="0.5">
      <c r="A42" s="65">
        <v>4</v>
      </c>
      <c r="B42" s="19" t="s">
        <v>30</v>
      </c>
      <c r="C42" s="19" t="s">
        <v>74</v>
      </c>
      <c r="D42" s="19" t="s">
        <v>31</v>
      </c>
      <c r="E42" s="18" t="s">
        <v>29</v>
      </c>
      <c r="G42" s="7">
        <v>4</v>
      </c>
      <c r="H42" s="23" t="s">
        <v>30</v>
      </c>
      <c r="I42" s="23" t="s">
        <v>86</v>
      </c>
      <c r="J42" s="23" t="s">
        <v>31</v>
      </c>
      <c r="K42" s="22" t="s">
        <v>29</v>
      </c>
      <c r="M42" s="7">
        <v>4</v>
      </c>
      <c r="N42" s="21" t="s">
        <v>30</v>
      </c>
      <c r="O42" s="21" t="s">
        <v>31</v>
      </c>
      <c r="P42" s="21" t="s">
        <v>31</v>
      </c>
      <c r="Q42" s="20" t="s">
        <v>34</v>
      </c>
    </row>
    <row r="43" spans="1:17" ht="79.95" customHeight="1" x14ac:dyDescent="0.5">
      <c r="A43" s="65">
        <v>4</v>
      </c>
      <c r="B43" s="19" t="s">
        <v>32</v>
      </c>
      <c r="C43" s="19" t="s">
        <v>80</v>
      </c>
      <c r="D43" s="19" t="s">
        <v>33</v>
      </c>
      <c r="E43" s="18" t="s">
        <v>29</v>
      </c>
      <c r="G43" s="7">
        <v>4</v>
      </c>
      <c r="H43" s="23" t="s">
        <v>32</v>
      </c>
      <c r="I43" s="23" t="s">
        <v>87</v>
      </c>
      <c r="J43" s="23" t="s">
        <v>33</v>
      </c>
      <c r="K43" s="22" t="s">
        <v>24</v>
      </c>
      <c r="M43" s="7">
        <v>4</v>
      </c>
      <c r="N43" s="21" t="s">
        <v>32</v>
      </c>
      <c r="O43" s="21" t="s">
        <v>87</v>
      </c>
      <c r="P43" s="21" t="s">
        <v>33</v>
      </c>
      <c r="Q43" s="20" t="s">
        <v>24</v>
      </c>
    </row>
    <row r="44" spans="1:17" ht="79.95" customHeight="1" x14ac:dyDescent="0.5">
      <c r="A44" s="66">
        <v>1</v>
      </c>
      <c r="B44" s="17" t="s">
        <v>21</v>
      </c>
      <c r="C44" s="17" t="s">
        <v>68</v>
      </c>
      <c r="D44" s="17" t="s">
        <v>23</v>
      </c>
      <c r="E44" s="16" t="s">
        <v>24</v>
      </c>
      <c r="G44" s="16">
        <v>1</v>
      </c>
      <c r="H44" s="17" t="s">
        <v>21</v>
      </c>
      <c r="I44" s="17" t="s">
        <v>22</v>
      </c>
      <c r="J44" s="17" t="s">
        <v>23</v>
      </c>
      <c r="K44" s="16" t="s">
        <v>24</v>
      </c>
      <c r="M44" s="16">
        <v>1</v>
      </c>
      <c r="N44" s="17" t="s">
        <v>21</v>
      </c>
      <c r="O44" s="17" t="s">
        <v>22</v>
      </c>
      <c r="P44" s="17" t="s">
        <v>23</v>
      </c>
      <c r="Q44" s="16" t="s">
        <v>24</v>
      </c>
    </row>
    <row r="45" spans="1:17" ht="79.95" customHeight="1" x14ac:dyDescent="0.5">
      <c r="A45" s="66">
        <v>1</v>
      </c>
      <c r="B45" s="19" t="s">
        <v>25</v>
      </c>
      <c r="C45" s="19" t="s">
        <v>36</v>
      </c>
      <c r="D45" s="19" t="s">
        <v>26</v>
      </c>
      <c r="E45" s="18" t="s">
        <v>24</v>
      </c>
      <c r="G45" s="7">
        <v>1</v>
      </c>
      <c r="H45" s="23" t="s">
        <v>25</v>
      </c>
      <c r="I45" s="23" t="s">
        <v>81</v>
      </c>
      <c r="J45" s="23" t="s">
        <v>26</v>
      </c>
      <c r="K45" s="22" t="s">
        <v>29</v>
      </c>
      <c r="M45" s="7">
        <v>1</v>
      </c>
      <c r="N45" s="21" t="s">
        <v>25</v>
      </c>
      <c r="O45" s="21" t="s">
        <v>93</v>
      </c>
      <c r="P45" s="21" t="s">
        <v>26</v>
      </c>
      <c r="Q45" s="20" t="s">
        <v>29</v>
      </c>
    </row>
    <row r="46" spans="1:17" ht="79.95" customHeight="1" x14ac:dyDescent="0.5">
      <c r="A46" s="66">
        <v>1</v>
      </c>
      <c r="B46" s="19" t="s">
        <v>27</v>
      </c>
      <c r="C46" s="19" t="s">
        <v>69</v>
      </c>
      <c r="D46" s="19" t="s">
        <v>28</v>
      </c>
      <c r="E46" s="18" t="s">
        <v>24</v>
      </c>
      <c r="G46" s="7">
        <v>1</v>
      </c>
      <c r="H46" s="23" t="s">
        <v>27</v>
      </c>
      <c r="I46" s="23" t="s">
        <v>37</v>
      </c>
      <c r="J46" s="23" t="s">
        <v>28</v>
      </c>
      <c r="K46" s="22" t="s">
        <v>24</v>
      </c>
      <c r="M46" s="7">
        <v>1</v>
      </c>
      <c r="N46" s="21" t="s">
        <v>27</v>
      </c>
      <c r="O46" s="21" t="s">
        <v>37</v>
      </c>
      <c r="P46" s="21" t="s">
        <v>28</v>
      </c>
      <c r="Q46" s="20" t="s">
        <v>24</v>
      </c>
    </row>
    <row r="47" spans="1:17" ht="79.95" customHeight="1" x14ac:dyDescent="0.5">
      <c r="A47" s="66">
        <v>1</v>
      </c>
      <c r="B47" s="19" t="s">
        <v>30</v>
      </c>
      <c r="C47" s="19" t="s">
        <v>70</v>
      </c>
      <c r="D47" s="19" t="s">
        <v>31</v>
      </c>
      <c r="E47" s="18" t="s">
        <v>24</v>
      </c>
      <c r="G47" s="7">
        <v>1</v>
      </c>
      <c r="H47" s="23" t="s">
        <v>30</v>
      </c>
      <c r="I47" s="23" t="s">
        <v>82</v>
      </c>
      <c r="J47" s="23" t="s">
        <v>31</v>
      </c>
      <c r="K47" s="22" t="s">
        <v>29</v>
      </c>
      <c r="M47" s="7">
        <v>1</v>
      </c>
      <c r="N47" s="21" t="s">
        <v>30</v>
      </c>
      <c r="O47" s="21" t="s">
        <v>35</v>
      </c>
      <c r="P47" s="21" t="s">
        <v>31</v>
      </c>
      <c r="Q47" s="20" t="s">
        <v>24</v>
      </c>
    </row>
    <row r="48" spans="1:17" ht="79.95" customHeight="1" x14ac:dyDescent="0.5">
      <c r="A48" s="66">
        <v>1</v>
      </c>
      <c r="B48" s="19" t="s">
        <v>32</v>
      </c>
      <c r="C48" s="19" t="s">
        <v>38</v>
      </c>
      <c r="D48" s="19" t="s">
        <v>33</v>
      </c>
      <c r="E48" s="18" t="s">
        <v>24</v>
      </c>
      <c r="G48" s="7">
        <v>1</v>
      </c>
      <c r="H48" s="23" t="s">
        <v>32</v>
      </c>
      <c r="I48" s="23" t="s">
        <v>83</v>
      </c>
      <c r="J48" s="23" t="s">
        <v>33</v>
      </c>
      <c r="K48" s="22" t="s">
        <v>24</v>
      </c>
      <c r="M48" s="7">
        <v>1</v>
      </c>
      <c r="N48" s="21" t="s">
        <v>32</v>
      </c>
      <c r="O48" s="21" t="s">
        <v>94</v>
      </c>
      <c r="P48" s="21" t="s">
        <v>33</v>
      </c>
      <c r="Q48" s="20" t="s">
        <v>24</v>
      </c>
    </row>
    <row r="49" spans="1:17" ht="79.95" customHeight="1" x14ac:dyDescent="0.5">
      <c r="A49" s="66">
        <v>2</v>
      </c>
      <c r="B49" s="17" t="s">
        <v>21</v>
      </c>
      <c r="C49" s="17" t="s">
        <v>71</v>
      </c>
      <c r="D49" s="17" t="s">
        <v>23</v>
      </c>
      <c r="E49" s="16" t="s">
        <v>29</v>
      </c>
      <c r="G49" s="16">
        <v>2</v>
      </c>
      <c r="H49" s="17" t="s">
        <v>21</v>
      </c>
      <c r="I49" s="17" t="s">
        <v>84</v>
      </c>
      <c r="J49" s="17" t="s">
        <v>23</v>
      </c>
      <c r="K49" s="16" t="s">
        <v>29</v>
      </c>
      <c r="M49" s="16">
        <v>2</v>
      </c>
      <c r="N49" s="17" t="s">
        <v>21</v>
      </c>
      <c r="O49" s="17" t="s">
        <v>22</v>
      </c>
      <c r="P49" s="17" t="s">
        <v>23</v>
      </c>
      <c r="Q49" s="16" t="s">
        <v>24</v>
      </c>
    </row>
    <row r="50" spans="1:17" ht="79.95" customHeight="1" x14ac:dyDescent="0.5">
      <c r="A50" s="66">
        <v>2</v>
      </c>
      <c r="B50" s="19" t="s">
        <v>25</v>
      </c>
      <c r="C50" s="19" t="s">
        <v>72</v>
      </c>
      <c r="D50" s="19" t="s">
        <v>26</v>
      </c>
      <c r="E50" s="18" t="s">
        <v>24</v>
      </c>
      <c r="G50" s="7">
        <v>2</v>
      </c>
      <c r="H50" s="23" t="s">
        <v>25</v>
      </c>
      <c r="I50" s="23" t="s">
        <v>85</v>
      </c>
      <c r="J50" s="23" t="s">
        <v>26</v>
      </c>
      <c r="K50" s="22" t="s">
        <v>29</v>
      </c>
      <c r="M50" s="7">
        <v>2</v>
      </c>
      <c r="N50" s="21" t="s">
        <v>25</v>
      </c>
      <c r="O50" s="21" t="s">
        <v>95</v>
      </c>
      <c r="P50" s="21" t="s">
        <v>26</v>
      </c>
      <c r="Q50" s="20" t="s">
        <v>24</v>
      </c>
    </row>
    <row r="51" spans="1:17" ht="79.95" customHeight="1" x14ac:dyDescent="0.5">
      <c r="A51" s="66">
        <v>2</v>
      </c>
      <c r="B51" s="19" t="s">
        <v>27</v>
      </c>
      <c r="C51" s="19" t="s">
        <v>73</v>
      </c>
      <c r="D51" s="19" t="s">
        <v>28</v>
      </c>
      <c r="E51" s="18" t="s">
        <v>29</v>
      </c>
      <c r="G51" s="7">
        <v>2</v>
      </c>
      <c r="H51" s="23" t="s">
        <v>27</v>
      </c>
      <c r="I51" s="23" t="s">
        <v>37</v>
      </c>
      <c r="J51" s="23" t="s">
        <v>28</v>
      </c>
      <c r="K51" s="22" t="s">
        <v>24</v>
      </c>
      <c r="M51" s="7">
        <v>2</v>
      </c>
      <c r="N51" s="21" t="s">
        <v>27</v>
      </c>
      <c r="O51" s="21" t="s">
        <v>37</v>
      </c>
      <c r="P51" s="21" t="s">
        <v>28</v>
      </c>
      <c r="Q51" s="20" t="s">
        <v>24</v>
      </c>
    </row>
    <row r="52" spans="1:17" ht="79.95" customHeight="1" x14ac:dyDescent="0.5">
      <c r="A52" s="66">
        <v>2</v>
      </c>
      <c r="B52" s="19" t="s">
        <v>30</v>
      </c>
      <c r="C52" s="19" t="s">
        <v>74</v>
      </c>
      <c r="D52" s="19" t="s">
        <v>31</v>
      </c>
      <c r="E52" s="18" t="s">
        <v>29</v>
      </c>
      <c r="G52" s="7">
        <v>2</v>
      </c>
      <c r="H52" s="23" t="s">
        <v>30</v>
      </c>
      <c r="I52" s="23" t="s">
        <v>86</v>
      </c>
      <c r="J52" s="23" t="s">
        <v>31</v>
      </c>
      <c r="K52" s="22" t="s">
        <v>29</v>
      </c>
      <c r="M52" s="7">
        <v>2</v>
      </c>
      <c r="N52" s="21" t="s">
        <v>30</v>
      </c>
      <c r="O52" s="21" t="s">
        <v>31</v>
      </c>
      <c r="P52" s="21" t="s">
        <v>31</v>
      </c>
      <c r="Q52" s="20" t="s">
        <v>34</v>
      </c>
    </row>
    <row r="53" spans="1:17" ht="79.95" customHeight="1" x14ac:dyDescent="0.5">
      <c r="A53" s="66">
        <v>2</v>
      </c>
      <c r="B53" s="19" t="s">
        <v>32</v>
      </c>
      <c r="C53" s="19" t="s">
        <v>75</v>
      </c>
      <c r="D53" s="19" t="s">
        <v>33</v>
      </c>
      <c r="E53" s="18" t="s">
        <v>24</v>
      </c>
      <c r="G53" s="7">
        <v>2</v>
      </c>
      <c r="H53" s="23" t="s">
        <v>32</v>
      </c>
      <c r="I53" s="23" t="s">
        <v>87</v>
      </c>
      <c r="J53" s="23" t="s">
        <v>33</v>
      </c>
      <c r="K53" s="22" t="s">
        <v>34</v>
      </c>
      <c r="M53" s="7">
        <v>2</v>
      </c>
      <c r="N53" s="21" t="s">
        <v>32</v>
      </c>
      <c r="O53" s="21" t="s">
        <v>87</v>
      </c>
      <c r="P53" s="21" t="s">
        <v>33</v>
      </c>
      <c r="Q53" s="20" t="s">
        <v>34</v>
      </c>
    </row>
    <row r="54" spans="1:17" ht="79.95" customHeight="1" x14ac:dyDescent="0.5">
      <c r="A54" s="66">
        <v>3</v>
      </c>
      <c r="B54" s="17" t="s">
        <v>21</v>
      </c>
      <c r="C54" s="17" t="s">
        <v>22</v>
      </c>
      <c r="D54" s="17" t="s">
        <v>23</v>
      </c>
      <c r="E54" s="16" t="s">
        <v>24</v>
      </c>
      <c r="G54" s="16">
        <v>3</v>
      </c>
      <c r="H54" s="17" t="s">
        <v>21</v>
      </c>
      <c r="I54" s="17" t="s">
        <v>88</v>
      </c>
      <c r="J54" s="17" t="s">
        <v>23</v>
      </c>
      <c r="K54" s="16" t="s">
        <v>29</v>
      </c>
      <c r="M54" s="16">
        <v>3</v>
      </c>
      <c r="N54" s="17" t="s">
        <v>21</v>
      </c>
      <c r="O54" s="17" t="s">
        <v>96</v>
      </c>
      <c r="P54" s="17" t="s">
        <v>23</v>
      </c>
      <c r="Q54" s="16" t="s">
        <v>34</v>
      </c>
    </row>
    <row r="55" spans="1:17" ht="79.95" customHeight="1" x14ac:dyDescent="0.5">
      <c r="A55" s="66">
        <v>3</v>
      </c>
      <c r="B55" s="19" t="s">
        <v>25</v>
      </c>
      <c r="C55" s="19" t="s">
        <v>76</v>
      </c>
      <c r="D55" s="19" t="s">
        <v>26</v>
      </c>
      <c r="E55" s="18" t="s">
        <v>29</v>
      </c>
      <c r="G55" s="26">
        <v>3</v>
      </c>
      <c r="H55" s="23" t="s">
        <v>25</v>
      </c>
      <c r="I55" s="23" t="s">
        <v>89</v>
      </c>
      <c r="J55" s="23" t="s">
        <v>26</v>
      </c>
      <c r="K55" s="22" t="s">
        <v>29</v>
      </c>
      <c r="M55" s="26">
        <v>3</v>
      </c>
      <c r="N55" s="21" t="s">
        <v>25</v>
      </c>
      <c r="O55" s="21" t="s">
        <v>97</v>
      </c>
      <c r="P55" s="21" t="s">
        <v>26</v>
      </c>
      <c r="Q55" s="20" t="s">
        <v>29</v>
      </c>
    </row>
    <row r="56" spans="1:17" ht="79.95" customHeight="1" x14ac:dyDescent="0.5">
      <c r="A56" s="66">
        <v>3</v>
      </c>
      <c r="B56" s="19" t="s">
        <v>27</v>
      </c>
      <c r="C56" s="19" t="s">
        <v>77</v>
      </c>
      <c r="D56" s="19" t="s">
        <v>28</v>
      </c>
      <c r="E56" s="18" t="s">
        <v>29</v>
      </c>
      <c r="G56" s="26">
        <v>3</v>
      </c>
      <c r="H56" s="23" t="s">
        <v>27</v>
      </c>
      <c r="I56" s="23" t="s">
        <v>37</v>
      </c>
      <c r="J56" s="23" t="s">
        <v>28</v>
      </c>
      <c r="K56" s="22" t="s">
        <v>24</v>
      </c>
      <c r="M56" s="26">
        <v>3</v>
      </c>
      <c r="N56" s="21" t="s">
        <v>27</v>
      </c>
      <c r="O56" s="21" t="s">
        <v>37</v>
      </c>
      <c r="P56" s="21" t="s">
        <v>28</v>
      </c>
      <c r="Q56" s="20" t="s">
        <v>24</v>
      </c>
    </row>
    <row r="57" spans="1:17" ht="79.95" customHeight="1" x14ac:dyDescent="0.5">
      <c r="A57" s="66">
        <v>3</v>
      </c>
      <c r="B57" s="19" t="s">
        <v>30</v>
      </c>
      <c r="C57" s="19" t="s">
        <v>77</v>
      </c>
      <c r="D57" s="19" t="s">
        <v>31</v>
      </c>
      <c r="E57" s="18" t="s">
        <v>29</v>
      </c>
      <c r="G57" s="26">
        <v>3</v>
      </c>
      <c r="H57" s="23" t="s">
        <v>30</v>
      </c>
      <c r="I57" s="23" t="s">
        <v>90</v>
      </c>
      <c r="J57" s="23" t="s">
        <v>31</v>
      </c>
      <c r="K57" s="22" t="s">
        <v>29</v>
      </c>
      <c r="M57" s="26">
        <v>3</v>
      </c>
      <c r="N57" s="21" t="s">
        <v>30</v>
      </c>
      <c r="O57" s="21" t="s">
        <v>35</v>
      </c>
      <c r="P57" s="21" t="s">
        <v>31</v>
      </c>
      <c r="Q57" s="20" t="s">
        <v>24</v>
      </c>
    </row>
    <row r="58" spans="1:17" ht="79.95" customHeight="1" x14ac:dyDescent="0.5">
      <c r="A58" s="66">
        <v>3</v>
      </c>
      <c r="B58" s="19" t="s">
        <v>32</v>
      </c>
      <c r="C58" s="19" t="s">
        <v>76</v>
      </c>
      <c r="D58" s="19" t="s">
        <v>33</v>
      </c>
      <c r="E58" s="18" t="s">
        <v>29</v>
      </c>
      <c r="G58" s="26">
        <v>3</v>
      </c>
      <c r="H58" s="23" t="s">
        <v>32</v>
      </c>
      <c r="I58" s="23" t="s">
        <v>91</v>
      </c>
      <c r="J58" s="23" t="s">
        <v>33</v>
      </c>
      <c r="K58" s="22" t="s">
        <v>24</v>
      </c>
      <c r="M58" s="26">
        <v>3</v>
      </c>
      <c r="N58" s="21" t="s">
        <v>32</v>
      </c>
      <c r="O58" s="21" t="s">
        <v>87</v>
      </c>
      <c r="P58" s="21" t="s">
        <v>33</v>
      </c>
      <c r="Q58" s="20" t="s">
        <v>34</v>
      </c>
    </row>
    <row r="59" spans="1:17" ht="79.95" customHeight="1" x14ac:dyDescent="0.5">
      <c r="A59" s="66">
        <v>4</v>
      </c>
      <c r="B59" s="17" t="s">
        <v>21</v>
      </c>
      <c r="C59" s="17" t="s">
        <v>71</v>
      </c>
      <c r="D59" s="17" t="s">
        <v>23</v>
      </c>
      <c r="E59" s="16" t="s">
        <v>29</v>
      </c>
      <c r="G59" s="16">
        <v>4</v>
      </c>
      <c r="H59" s="17" t="s">
        <v>21</v>
      </c>
      <c r="I59" s="17" t="s">
        <v>92</v>
      </c>
      <c r="J59" s="17" t="s">
        <v>23</v>
      </c>
      <c r="K59" s="16" t="s">
        <v>29</v>
      </c>
      <c r="M59" s="16">
        <v>4</v>
      </c>
      <c r="N59" s="17" t="s">
        <v>21</v>
      </c>
      <c r="O59" s="17" t="s">
        <v>22</v>
      </c>
      <c r="P59" s="17" t="s">
        <v>23</v>
      </c>
      <c r="Q59" s="16" t="s">
        <v>24</v>
      </c>
    </row>
    <row r="60" spans="1:17" ht="79.95" customHeight="1" x14ac:dyDescent="0.5">
      <c r="A60" s="66">
        <v>4</v>
      </c>
      <c r="B60" s="19" t="s">
        <v>25</v>
      </c>
      <c r="C60" s="19" t="s">
        <v>78</v>
      </c>
      <c r="D60" s="19" t="s">
        <v>26</v>
      </c>
      <c r="E60" s="18" t="s">
        <v>29</v>
      </c>
      <c r="G60" s="26">
        <v>4</v>
      </c>
      <c r="H60" s="23" t="s">
        <v>25</v>
      </c>
      <c r="I60" s="23" t="s">
        <v>85</v>
      </c>
      <c r="J60" s="23" t="s">
        <v>26</v>
      </c>
      <c r="K60" s="22" t="s">
        <v>29</v>
      </c>
      <c r="M60" s="26">
        <v>4</v>
      </c>
      <c r="N60" s="21" t="s">
        <v>25</v>
      </c>
      <c r="O60" s="21" t="s">
        <v>95</v>
      </c>
      <c r="P60" s="21" t="s">
        <v>26</v>
      </c>
      <c r="Q60" s="20" t="s">
        <v>24</v>
      </c>
    </row>
    <row r="61" spans="1:17" ht="79.95" customHeight="1" x14ac:dyDescent="0.5">
      <c r="A61" s="66">
        <v>4</v>
      </c>
      <c r="B61" s="19" t="s">
        <v>27</v>
      </c>
      <c r="C61" s="19" t="s">
        <v>79</v>
      </c>
      <c r="D61" s="19" t="s">
        <v>28</v>
      </c>
      <c r="E61" s="18" t="s">
        <v>29</v>
      </c>
      <c r="G61" s="26">
        <v>4</v>
      </c>
      <c r="H61" s="23" t="s">
        <v>27</v>
      </c>
      <c r="I61" s="23" t="s">
        <v>37</v>
      </c>
      <c r="J61" s="23" t="s">
        <v>28</v>
      </c>
      <c r="K61" s="22" t="s">
        <v>24</v>
      </c>
      <c r="M61" s="26">
        <v>4</v>
      </c>
      <c r="N61" s="21" t="s">
        <v>27</v>
      </c>
      <c r="O61" s="21" t="s">
        <v>37</v>
      </c>
      <c r="P61" s="21" t="s">
        <v>28</v>
      </c>
      <c r="Q61" s="20" t="s">
        <v>24</v>
      </c>
    </row>
    <row r="62" spans="1:17" ht="103.2" x14ac:dyDescent="0.5">
      <c r="A62" s="66">
        <v>4</v>
      </c>
      <c r="B62" s="19" t="s">
        <v>30</v>
      </c>
      <c r="C62" s="19" t="s">
        <v>74</v>
      </c>
      <c r="D62" s="19" t="s">
        <v>31</v>
      </c>
      <c r="E62" s="18" t="s">
        <v>29</v>
      </c>
      <c r="G62" s="26">
        <v>4</v>
      </c>
      <c r="H62" s="23" t="s">
        <v>30</v>
      </c>
      <c r="I62" s="23" t="s">
        <v>86</v>
      </c>
      <c r="J62" s="23" t="s">
        <v>31</v>
      </c>
      <c r="K62" s="22" t="s">
        <v>29</v>
      </c>
      <c r="M62" s="26">
        <v>4</v>
      </c>
      <c r="N62" s="21" t="s">
        <v>30</v>
      </c>
      <c r="O62" s="21" t="s">
        <v>31</v>
      </c>
      <c r="P62" s="21" t="s">
        <v>31</v>
      </c>
      <c r="Q62" s="20" t="s">
        <v>34</v>
      </c>
    </row>
    <row r="63" spans="1:17" ht="129" x14ac:dyDescent="0.5">
      <c r="A63" s="66">
        <v>4</v>
      </c>
      <c r="B63" s="19" t="s">
        <v>32</v>
      </c>
      <c r="C63" s="19" t="s">
        <v>80</v>
      </c>
      <c r="D63" s="19" t="s">
        <v>33</v>
      </c>
      <c r="E63" s="18" t="s">
        <v>29</v>
      </c>
      <c r="G63" s="26">
        <v>4</v>
      </c>
      <c r="H63" s="23" t="s">
        <v>32</v>
      </c>
      <c r="I63" s="23" t="s">
        <v>87</v>
      </c>
      <c r="J63" s="23" t="s">
        <v>33</v>
      </c>
      <c r="K63" s="22" t="s">
        <v>34</v>
      </c>
      <c r="M63" s="26">
        <v>4</v>
      </c>
      <c r="N63" s="21" t="s">
        <v>32</v>
      </c>
      <c r="O63" s="21" t="s">
        <v>87</v>
      </c>
      <c r="P63" s="21" t="s">
        <v>33</v>
      </c>
      <c r="Q63" s="20" t="s">
        <v>34</v>
      </c>
    </row>
  </sheetData>
  <mergeCells count="2">
    <mergeCell ref="B2:Q2"/>
    <mergeCell ref="U3:X3"/>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BDC99-94D2-4F3D-BA3A-F40A497E3D09}">
  <dimension ref="A1:AC61"/>
  <sheetViews>
    <sheetView topLeftCell="Y3" zoomScale="20" zoomScaleNormal="111" workbookViewId="0">
      <selection activeCell="AY4" sqref="AY4"/>
    </sheetView>
  </sheetViews>
  <sheetFormatPr defaultRowHeight="25.8" x14ac:dyDescent="0.5"/>
  <cols>
    <col min="1" max="1" width="8.6640625" style="25" customWidth="1"/>
    <col min="2" max="2" width="38.5546875" style="6" customWidth="1"/>
    <col min="3" max="3" width="47.77734375" style="6" customWidth="1"/>
    <col min="4" max="4" width="45.21875" style="6" customWidth="1"/>
    <col min="5" max="5" width="32.6640625" style="8" customWidth="1"/>
    <col min="6" max="6" width="8.88671875" style="6" customWidth="1"/>
    <col min="7" max="7" width="8.88671875" style="6"/>
    <col min="8" max="8" width="29.109375" style="6" customWidth="1"/>
    <col min="9" max="9" width="37.109375" style="6" customWidth="1"/>
    <col min="10" max="10" width="29.109375" style="6" customWidth="1"/>
    <col min="11" max="11" width="34.109375" style="6" customWidth="1"/>
    <col min="12" max="12" width="11.109375" style="6" customWidth="1"/>
    <col min="13" max="13" width="14.77734375" style="6" customWidth="1"/>
    <col min="14" max="14" width="28.21875" style="6" customWidth="1"/>
    <col min="15" max="15" width="35.109375" style="6" customWidth="1"/>
    <col min="16" max="16" width="26.21875" style="6" customWidth="1"/>
    <col min="17" max="17" width="34" style="6" customWidth="1"/>
    <col min="18" max="19" width="8.88671875" style="6"/>
    <col min="20" max="20" width="36.109375" style="6" customWidth="1"/>
    <col min="21" max="21" width="29.5546875" style="6" customWidth="1"/>
    <col min="22" max="22" width="30" style="6" customWidth="1"/>
    <col min="23" max="23" width="25.21875" style="6" customWidth="1"/>
    <col min="24" max="24" width="20.109375" style="6" customWidth="1"/>
    <col min="25" max="25" width="41" style="6" customWidth="1"/>
    <col min="26" max="26" width="27.5546875" style="6" customWidth="1"/>
    <col min="27" max="27" width="25.6640625" style="6" customWidth="1"/>
    <col min="28" max="28" width="21.77734375" style="6" customWidth="1"/>
    <col min="29" max="29" width="23.109375" style="6" customWidth="1"/>
    <col min="30" max="16384" width="8.88671875" style="6"/>
  </cols>
  <sheetData>
    <row r="1" spans="1:29" ht="19.95" customHeight="1" x14ac:dyDescent="0.5"/>
    <row r="2" spans="1:29" ht="79.95" customHeight="1" x14ac:dyDescent="0.5">
      <c r="B2" s="67" t="s">
        <v>55</v>
      </c>
      <c r="C2" s="67"/>
      <c r="D2" s="67"/>
      <c r="E2" s="67"/>
      <c r="F2" s="67"/>
      <c r="G2" s="67"/>
      <c r="H2" s="67"/>
      <c r="I2" s="67"/>
      <c r="J2" s="67"/>
      <c r="K2" s="67"/>
      <c r="L2" s="67"/>
      <c r="M2" s="67"/>
      <c r="N2" s="67"/>
      <c r="O2" s="67"/>
      <c r="P2" s="67"/>
      <c r="Q2" s="67"/>
      <c r="R2" s="67"/>
      <c r="S2" s="67"/>
      <c r="T2" s="67"/>
      <c r="U2" s="67"/>
      <c r="V2" s="67"/>
      <c r="W2" s="67"/>
    </row>
    <row r="3" spans="1:29" ht="79.95" customHeight="1" x14ac:dyDescent="0.5">
      <c r="A3" s="27" t="s">
        <v>47</v>
      </c>
      <c r="B3" s="5" t="s">
        <v>17</v>
      </c>
      <c r="C3" s="5" t="s">
        <v>18</v>
      </c>
      <c r="D3" s="5" t="s">
        <v>19</v>
      </c>
      <c r="E3" s="5" t="s">
        <v>20</v>
      </c>
      <c r="G3" s="27" t="s">
        <v>47</v>
      </c>
      <c r="H3" s="5" t="s">
        <v>17</v>
      </c>
      <c r="I3" s="5" t="s">
        <v>18</v>
      </c>
      <c r="J3" s="5" t="s">
        <v>19</v>
      </c>
      <c r="K3" s="5" t="s">
        <v>20</v>
      </c>
      <c r="M3" s="27" t="s">
        <v>47</v>
      </c>
      <c r="N3" s="5" t="s">
        <v>17</v>
      </c>
      <c r="O3" s="5" t="s">
        <v>18</v>
      </c>
      <c r="P3" s="5" t="s">
        <v>19</v>
      </c>
      <c r="Q3" s="5" t="s">
        <v>20</v>
      </c>
      <c r="S3" s="27" t="s">
        <v>47</v>
      </c>
      <c r="T3" s="5" t="s">
        <v>17</v>
      </c>
      <c r="U3" s="5" t="s">
        <v>18</v>
      </c>
      <c r="V3" s="5" t="s">
        <v>19</v>
      </c>
      <c r="W3" s="5" t="s">
        <v>20</v>
      </c>
      <c r="Y3" s="70" t="s">
        <v>44</v>
      </c>
      <c r="Z3" s="68" t="s">
        <v>54</v>
      </c>
      <c r="AA3" s="69"/>
      <c r="AB3" s="69"/>
      <c r="AC3" s="69"/>
    </row>
    <row r="4" spans="1:29" ht="79.95" customHeight="1" x14ac:dyDescent="0.5">
      <c r="A4" s="64">
        <v>1</v>
      </c>
      <c r="B4" s="17" t="s">
        <v>21</v>
      </c>
      <c r="C4" s="17" t="s">
        <v>68</v>
      </c>
      <c r="D4" s="17" t="s">
        <v>23</v>
      </c>
      <c r="E4" s="16" t="s">
        <v>24</v>
      </c>
      <c r="G4" s="16">
        <v>2</v>
      </c>
      <c r="H4" s="17" t="s">
        <v>21</v>
      </c>
      <c r="I4" s="17" t="s">
        <v>71</v>
      </c>
      <c r="J4" s="17" t="s">
        <v>23</v>
      </c>
      <c r="K4" s="16" t="s">
        <v>29</v>
      </c>
      <c r="M4" s="16">
        <v>3</v>
      </c>
      <c r="N4" s="17" t="s">
        <v>21</v>
      </c>
      <c r="O4" s="17" t="s">
        <v>22</v>
      </c>
      <c r="P4" s="17" t="s">
        <v>23</v>
      </c>
      <c r="Q4" s="16" t="s">
        <v>24</v>
      </c>
      <c r="S4" s="16">
        <v>4</v>
      </c>
      <c r="T4" s="17" t="s">
        <v>21</v>
      </c>
      <c r="U4" s="17" t="s">
        <v>71</v>
      </c>
      <c r="V4" s="17" t="s">
        <v>23</v>
      </c>
      <c r="W4" s="16" t="s">
        <v>29</v>
      </c>
      <c r="Y4" s="71"/>
      <c r="Z4" s="57">
        <v>1</v>
      </c>
      <c r="AA4" s="29">
        <v>2</v>
      </c>
      <c r="AB4" s="58">
        <v>3</v>
      </c>
      <c r="AC4" s="59">
        <v>4</v>
      </c>
    </row>
    <row r="5" spans="1:29" ht="79.95" customHeight="1" x14ac:dyDescent="0.5">
      <c r="A5" s="64">
        <v>1</v>
      </c>
      <c r="B5" s="19" t="s">
        <v>25</v>
      </c>
      <c r="C5" s="19" t="s">
        <v>36</v>
      </c>
      <c r="D5" s="19" t="s">
        <v>26</v>
      </c>
      <c r="E5" s="18" t="s">
        <v>24</v>
      </c>
      <c r="G5" s="26">
        <v>2</v>
      </c>
      <c r="H5" s="19" t="s">
        <v>25</v>
      </c>
      <c r="I5" s="19" t="s">
        <v>72</v>
      </c>
      <c r="J5" s="19" t="s">
        <v>26</v>
      </c>
      <c r="K5" s="18" t="s">
        <v>24</v>
      </c>
      <c r="M5" s="26">
        <v>3</v>
      </c>
      <c r="N5" s="19" t="s">
        <v>25</v>
      </c>
      <c r="O5" s="19" t="s">
        <v>76</v>
      </c>
      <c r="P5" s="19" t="s">
        <v>26</v>
      </c>
      <c r="Q5" s="18" t="s">
        <v>29</v>
      </c>
      <c r="S5" s="26">
        <v>4</v>
      </c>
      <c r="T5" s="19" t="s">
        <v>25</v>
      </c>
      <c r="U5" s="19" t="s">
        <v>78</v>
      </c>
      <c r="V5" s="19" t="s">
        <v>26</v>
      </c>
      <c r="W5" s="18" t="s">
        <v>29</v>
      </c>
      <c r="Y5" s="32" t="s">
        <v>49</v>
      </c>
      <c r="Z5" s="32">
        <f>COUNTIF(E4:E18, "A")</f>
        <v>13</v>
      </c>
      <c r="AA5" s="32">
        <f>COUNTIF(K4:K18, "A")</f>
        <v>5</v>
      </c>
      <c r="AB5" s="32">
        <f>COUNTIF(Q4:Q18, "A")</f>
        <v>3</v>
      </c>
      <c r="AC5" s="32">
        <f>COUNTIF(W4:W18, "A")</f>
        <v>0</v>
      </c>
    </row>
    <row r="6" spans="1:29" ht="79.95" customHeight="1" x14ac:dyDescent="0.5">
      <c r="A6" s="64">
        <v>1</v>
      </c>
      <c r="B6" s="19" t="s">
        <v>27</v>
      </c>
      <c r="C6" s="19" t="s">
        <v>69</v>
      </c>
      <c r="D6" s="19" t="s">
        <v>28</v>
      </c>
      <c r="E6" s="18" t="s">
        <v>24</v>
      </c>
      <c r="G6" s="26">
        <v>2</v>
      </c>
      <c r="H6" s="19" t="s">
        <v>27</v>
      </c>
      <c r="I6" s="19" t="s">
        <v>73</v>
      </c>
      <c r="J6" s="19" t="s">
        <v>28</v>
      </c>
      <c r="K6" s="18" t="s">
        <v>29</v>
      </c>
      <c r="M6" s="26">
        <v>3</v>
      </c>
      <c r="N6" s="19" t="s">
        <v>27</v>
      </c>
      <c r="O6" s="19" t="s">
        <v>77</v>
      </c>
      <c r="P6" s="19" t="s">
        <v>28</v>
      </c>
      <c r="Q6" s="18" t="s">
        <v>29</v>
      </c>
      <c r="S6" s="26">
        <v>4</v>
      </c>
      <c r="T6" s="19" t="s">
        <v>27</v>
      </c>
      <c r="U6" s="19" t="s">
        <v>79</v>
      </c>
      <c r="V6" s="19" t="s">
        <v>28</v>
      </c>
      <c r="W6" s="18" t="s">
        <v>29</v>
      </c>
      <c r="Y6" s="33" t="s">
        <v>50</v>
      </c>
      <c r="Z6" s="33">
        <f>COUNTIF(E4:E18, "B")</f>
        <v>2</v>
      </c>
      <c r="AA6" s="33">
        <f>COUNTIF(K4:K18, "B")</f>
        <v>10</v>
      </c>
      <c r="AB6" s="33">
        <f>COUNTIF(Q4:Q18, "B")</f>
        <v>12</v>
      </c>
      <c r="AC6" s="33">
        <f>COUNTIF(W4:W18, "B")</f>
        <v>15</v>
      </c>
    </row>
    <row r="7" spans="1:29" ht="79.95" customHeight="1" x14ac:dyDescent="0.5">
      <c r="A7" s="64">
        <v>1</v>
      </c>
      <c r="B7" s="19" t="s">
        <v>30</v>
      </c>
      <c r="C7" s="19" t="s">
        <v>70</v>
      </c>
      <c r="D7" s="19" t="s">
        <v>31</v>
      </c>
      <c r="E7" s="18" t="s">
        <v>24</v>
      </c>
      <c r="G7" s="26">
        <v>2</v>
      </c>
      <c r="H7" s="19" t="s">
        <v>30</v>
      </c>
      <c r="I7" s="19" t="s">
        <v>74</v>
      </c>
      <c r="J7" s="19" t="s">
        <v>31</v>
      </c>
      <c r="K7" s="18" t="s">
        <v>29</v>
      </c>
      <c r="M7" s="26">
        <v>3</v>
      </c>
      <c r="N7" s="19" t="s">
        <v>30</v>
      </c>
      <c r="O7" s="19" t="s">
        <v>77</v>
      </c>
      <c r="P7" s="19" t="s">
        <v>31</v>
      </c>
      <c r="Q7" s="18" t="s">
        <v>29</v>
      </c>
      <c r="S7" s="26">
        <v>4</v>
      </c>
      <c r="T7" s="19" t="s">
        <v>30</v>
      </c>
      <c r="U7" s="19" t="s">
        <v>74</v>
      </c>
      <c r="V7" s="19" t="s">
        <v>31</v>
      </c>
      <c r="W7" s="18" t="s">
        <v>29</v>
      </c>
      <c r="Y7" s="34" t="s">
        <v>34</v>
      </c>
      <c r="Z7" s="34">
        <f>COUNTIF(E4:E18, "Tie")</f>
        <v>0</v>
      </c>
      <c r="AA7" s="34">
        <f>COUNTIF(K4:K18, "Tie")</f>
        <v>0</v>
      </c>
      <c r="AB7" s="34">
        <f>COUNTIF(Q4:Q18, "Tie")</f>
        <v>0</v>
      </c>
      <c r="AC7" s="34">
        <f>COUNTIF(W4:W18, "Tie")</f>
        <v>0</v>
      </c>
    </row>
    <row r="8" spans="1:29" ht="79.95" customHeight="1" x14ac:dyDescent="0.5">
      <c r="A8" s="64">
        <v>1</v>
      </c>
      <c r="B8" s="19" t="s">
        <v>32</v>
      </c>
      <c r="C8" s="19" t="s">
        <v>38</v>
      </c>
      <c r="D8" s="19" t="s">
        <v>33</v>
      </c>
      <c r="E8" s="18" t="s">
        <v>24</v>
      </c>
      <c r="G8" s="26">
        <v>2</v>
      </c>
      <c r="H8" s="19" t="s">
        <v>32</v>
      </c>
      <c r="I8" s="19" t="s">
        <v>75</v>
      </c>
      <c r="J8" s="19" t="s">
        <v>33</v>
      </c>
      <c r="K8" s="18" t="s">
        <v>24</v>
      </c>
      <c r="M8" s="26">
        <v>3</v>
      </c>
      <c r="N8" s="19" t="s">
        <v>32</v>
      </c>
      <c r="O8" s="19" t="s">
        <v>76</v>
      </c>
      <c r="P8" s="19" t="s">
        <v>33</v>
      </c>
      <c r="Q8" s="18" t="s">
        <v>29</v>
      </c>
      <c r="S8" s="26">
        <v>4</v>
      </c>
      <c r="T8" s="19" t="s">
        <v>32</v>
      </c>
      <c r="U8" s="19" t="s">
        <v>80</v>
      </c>
      <c r="V8" s="19" t="s">
        <v>33</v>
      </c>
      <c r="W8" s="18" t="s">
        <v>29</v>
      </c>
      <c r="Y8" s="35" t="s">
        <v>42</v>
      </c>
      <c r="Z8" s="35">
        <f>SUM(Z5:Z7)</f>
        <v>15</v>
      </c>
      <c r="AA8" s="35">
        <f>SUM(AA5:AA7)</f>
        <v>15</v>
      </c>
      <c r="AB8" s="35">
        <f>SUM(AB5:AB7)</f>
        <v>15</v>
      </c>
      <c r="AC8" s="35">
        <f>SUM(AC5:AC7)</f>
        <v>15</v>
      </c>
    </row>
    <row r="9" spans="1:29" ht="79.95" customHeight="1" x14ac:dyDescent="0.5">
      <c r="A9" s="65">
        <v>1</v>
      </c>
      <c r="B9" s="17" t="s">
        <v>21</v>
      </c>
      <c r="C9" s="17" t="s">
        <v>68</v>
      </c>
      <c r="D9" s="17" t="s">
        <v>23</v>
      </c>
      <c r="E9" s="16" t="s">
        <v>29</v>
      </c>
      <c r="F9" s="60"/>
      <c r="G9" s="16">
        <v>2</v>
      </c>
      <c r="H9" s="17" t="s">
        <v>21</v>
      </c>
      <c r="I9" s="17" t="s">
        <v>71</v>
      </c>
      <c r="J9" s="17" t="s">
        <v>23</v>
      </c>
      <c r="K9" s="16" t="s">
        <v>29</v>
      </c>
      <c r="L9" s="60"/>
      <c r="M9" s="16">
        <v>3</v>
      </c>
      <c r="N9" s="17" t="s">
        <v>21</v>
      </c>
      <c r="O9" s="17" t="s">
        <v>22</v>
      </c>
      <c r="P9" s="17" t="s">
        <v>23</v>
      </c>
      <c r="Q9" s="16" t="s">
        <v>24</v>
      </c>
      <c r="R9" s="60"/>
      <c r="S9" s="16">
        <v>4</v>
      </c>
      <c r="T9" s="17" t="s">
        <v>21</v>
      </c>
      <c r="U9" s="17" t="s">
        <v>71</v>
      </c>
      <c r="V9" s="17" t="s">
        <v>23</v>
      </c>
      <c r="W9" s="16" t="s">
        <v>29</v>
      </c>
      <c r="Y9" s="36" t="s">
        <v>51</v>
      </c>
      <c r="Z9" s="54">
        <f>Z5/$Z$8*100</f>
        <v>86.666666666666671</v>
      </c>
      <c r="AA9" s="54">
        <f t="shared" ref="Z9:AC11" si="0">AA5/$Z$8*100</f>
        <v>33.333333333333329</v>
      </c>
      <c r="AB9" s="54">
        <f t="shared" si="0"/>
        <v>20</v>
      </c>
      <c r="AC9" s="54">
        <f t="shared" si="0"/>
        <v>0</v>
      </c>
    </row>
    <row r="10" spans="1:29" ht="79.95" customHeight="1" x14ac:dyDescent="0.5">
      <c r="A10" s="65">
        <v>1</v>
      </c>
      <c r="B10" s="19" t="s">
        <v>25</v>
      </c>
      <c r="C10" s="19" t="s">
        <v>36</v>
      </c>
      <c r="D10" s="19" t="s">
        <v>26</v>
      </c>
      <c r="E10" s="18" t="s">
        <v>24</v>
      </c>
      <c r="G10" s="26">
        <v>2</v>
      </c>
      <c r="H10" s="19" t="s">
        <v>25</v>
      </c>
      <c r="I10" s="19" t="s">
        <v>72</v>
      </c>
      <c r="J10" s="19" t="s">
        <v>26</v>
      </c>
      <c r="K10" s="18" t="s">
        <v>29</v>
      </c>
      <c r="M10" s="26">
        <v>3</v>
      </c>
      <c r="N10" s="19" t="s">
        <v>25</v>
      </c>
      <c r="O10" s="19" t="s">
        <v>76</v>
      </c>
      <c r="P10" s="19" t="s">
        <v>26</v>
      </c>
      <c r="Q10" s="18" t="s">
        <v>29</v>
      </c>
      <c r="S10" s="7">
        <v>4</v>
      </c>
      <c r="T10" s="19" t="s">
        <v>25</v>
      </c>
      <c r="U10" s="19" t="s">
        <v>78</v>
      </c>
      <c r="V10" s="19" t="s">
        <v>26</v>
      </c>
      <c r="W10" s="18" t="s">
        <v>29</v>
      </c>
      <c r="Y10" s="38" t="s">
        <v>52</v>
      </c>
      <c r="Z10" s="55">
        <f t="shared" si="0"/>
        <v>13.333333333333334</v>
      </c>
      <c r="AA10" s="55">
        <f t="shared" si="0"/>
        <v>66.666666666666657</v>
      </c>
      <c r="AB10" s="55">
        <f t="shared" si="0"/>
        <v>80</v>
      </c>
      <c r="AC10" s="55">
        <f t="shared" si="0"/>
        <v>100</v>
      </c>
    </row>
    <row r="11" spans="1:29" ht="79.95" customHeight="1" x14ac:dyDescent="0.5">
      <c r="A11" s="65">
        <v>1</v>
      </c>
      <c r="B11" s="19" t="s">
        <v>27</v>
      </c>
      <c r="C11" s="19" t="s">
        <v>69</v>
      </c>
      <c r="D11" s="19" t="s">
        <v>28</v>
      </c>
      <c r="E11" s="18" t="s">
        <v>24</v>
      </c>
      <c r="G11" s="26">
        <v>2</v>
      </c>
      <c r="H11" s="19" t="s">
        <v>27</v>
      </c>
      <c r="I11" s="19" t="s">
        <v>73</v>
      </c>
      <c r="J11" s="19" t="s">
        <v>28</v>
      </c>
      <c r="K11" s="18" t="s">
        <v>29</v>
      </c>
      <c r="M11" s="26">
        <v>3</v>
      </c>
      <c r="N11" s="19" t="s">
        <v>27</v>
      </c>
      <c r="O11" s="19" t="s">
        <v>77</v>
      </c>
      <c r="P11" s="19" t="s">
        <v>28</v>
      </c>
      <c r="Q11" s="18" t="s">
        <v>29</v>
      </c>
      <c r="S11" s="7">
        <v>4</v>
      </c>
      <c r="T11" s="19" t="s">
        <v>27</v>
      </c>
      <c r="U11" s="19" t="s">
        <v>79</v>
      </c>
      <c r="V11" s="19" t="s">
        <v>28</v>
      </c>
      <c r="W11" s="18" t="s">
        <v>29</v>
      </c>
      <c r="Y11" s="40" t="s">
        <v>53</v>
      </c>
      <c r="Z11" s="56">
        <f t="shared" si="0"/>
        <v>0</v>
      </c>
      <c r="AA11" s="56">
        <f t="shared" si="0"/>
        <v>0</v>
      </c>
      <c r="AB11" s="56">
        <f t="shared" si="0"/>
        <v>0</v>
      </c>
      <c r="AC11" s="56">
        <f t="shared" si="0"/>
        <v>0</v>
      </c>
    </row>
    <row r="12" spans="1:29" ht="79.95" customHeight="1" x14ac:dyDescent="0.5">
      <c r="A12" s="65">
        <v>1</v>
      </c>
      <c r="B12" s="19" t="s">
        <v>30</v>
      </c>
      <c r="C12" s="19" t="s">
        <v>70</v>
      </c>
      <c r="D12" s="19" t="s">
        <v>31</v>
      </c>
      <c r="E12" s="18" t="s">
        <v>29</v>
      </c>
      <c r="G12" s="26">
        <v>2</v>
      </c>
      <c r="H12" s="19" t="s">
        <v>30</v>
      </c>
      <c r="I12" s="19" t="s">
        <v>74</v>
      </c>
      <c r="J12" s="19" t="s">
        <v>31</v>
      </c>
      <c r="K12" s="18" t="s">
        <v>29</v>
      </c>
      <c r="M12" s="26">
        <v>3</v>
      </c>
      <c r="N12" s="19" t="s">
        <v>30</v>
      </c>
      <c r="O12" s="19" t="s">
        <v>77</v>
      </c>
      <c r="P12" s="19" t="s">
        <v>31</v>
      </c>
      <c r="Q12" s="18" t="s">
        <v>29</v>
      </c>
      <c r="S12" s="7">
        <v>4</v>
      </c>
      <c r="T12" s="19" t="s">
        <v>30</v>
      </c>
      <c r="U12" s="19" t="s">
        <v>74</v>
      </c>
      <c r="V12" s="19" t="s">
        <v>31</v>
      </c>
      <c r="W12" s="18" t="s">
        <v>29</v>
      </c>
    </row>
    <row r="13" spans="1:29" ht="79.95" customHeight="1" x14ac:dyDescent="0.5">
      <c r="A13" s="65">
        <v>1</v>
      </c>
      <c r="B13" s="19" t="s">
        <v>32</v>
      </c>
      <c r="C13" s="19" t="s">
        <v>38</v>
      </c>
      <c r="D13" s="19" t="s">
        <v>33</v>
      </c>
      <c r="E13" s="18" t="s">
        <v>24</v>
      </c>
      <c r="G13" s="26">
        <v>2</v>
      </c>
      <c r="H13" s="19" t="s">
        <v>32</v>
      </c>
      <c r="I13" s="19" t="s">
        <v>75</v>
      </c>
      <c r="J13" s="19" t="s">
        <v>33</v>
      </c>
      <c r="K13" s="18" t="s">
        <v>24</v>
      </c>
      <c r="M13" s="26">
        <v>3</v>
      </c>
      <c r="N13" s="19" t="s">
        <v>32</v>
      </c>
      <c r="O13" s="19" t="s">
        <v>76</v>
      </c>
      <c r="P13" s="19" t="s">
        <v>33</v>
      </c>
      <c r="Q13" s="18" t="s">
        <v>29</v>
      </c>
      <c r="S13" s="7">
        <v>4</v>
      </c>
      <c r="T13" s="19" t="s">
        <v>32</v>
      </c>
      <c r="U13" s="19" t="s">
        <v>80</v>
      </c>
      <c r="V13" s="19" t="s">
        <v>33</v>
      </c>
      <c r="W13" s="18" t="s">
        <v>29</v>
      </c>
    </row>
    <row r="14" spans="1:29" ht="79.95" customHeight="1" x14ac:dyDescent="0.5">
      <c r="A14" s="66">
        <v>1</v>
      </c>
      <c r="B14" s="17" t="s">
        <v>21</v>
      </c>
      <c r="C14" s="17" t="s">
        <v>68</v>
      </c>
      <c r="D14" s="17" t="s">
        <v>23</v>
      </c>
      <c r="E14" s="16" t="s">
        <v>24</v>
      </c>
      <c r="G14" s="16">
        <v>2</v>
      </c>
      <c r="H14" s="17" t="s">
        <v>21</v>
      </c>
      <c r="I14" s="17" t="s">
        <v>71</v>
      </c>
      <c r="J14" s="17" t="s">
        <v>23</v>
      </c>
      <c r="K14" s="16" t="s">
        <v>29</v>
      </c>
      <c r="M14" s="16">
        <v>3</v>
      </c>
      <c r="N14" s="17" t="s">
        <v>21</v>
      </c>
      <c r="O14" s="17" t="s">
        <v>22</v>
      </c>
      <c r="P14" s="17" t="s">
        <v>23</v>
      </c>
      <c r="Q14" s="16" t="s">
        <v>24</v>
      </c>
      <c r="S14" s="16">
        <v>4</v>
      </c>
      <c r="T14" s="17" t="s">
        <v>21</v>
      </c>
      <c r="U14" s="17" t="s">
        <v>71</v>
      </c>
      <c r="V14" s="17" t="s">
        <v>23</v>
      </c>
      <c r="W14" s="16" t="s">
        <v>29</v>
      </c>
    </row>
    <row r="15" spans="1:29" ht="79.95" customHeight="1" x14ac:dyDescent="0.5">
      <c r="A15" s="66">
        <v>1</v>
      </c>
      <c r="B15" s="19" t="s">
        <v>25</v>
      </c>
      <c r="C15" s="19" t="s">
        <v>36</v>
      </c>
      <c r="D15" s="19" t="s">
        <v>26</v>
      </c>
      <c r="E15" s="18" t="s">
        <v>24</v>
      </c>
      <c r="G15" s="7">
        <v>2</v>
      </c>
      <c r="H15" s="19" t="s">
        <v>25</v>
      </c>
      <c r="I15" s="19" t="s">
        <v>72</v>
      </c>
      <c r="J15" s="19" t="s">
        <v>26</v>
      </c>
      <c r="K15" s="18" t="s">
        <v>24</v>
      </c>
      <c r="M15" s="26">
        <v>3</v>
      </c>
      <c r="N15" s="19" t="s">
        <v>25</v>
      </c>
      <c r="O15" s="19" t="s">
        <v>76</v>
      </c>
      <c r="P15" s="19" t="s">
        <v>26</v>
      </c>
      <c r="Q15" s="18" t="s">
        <v>29</v>
      </c>
      <c r="S15" s="26">
        <v>4</v>
      </c>
      <c r="T15" s="19" t="s">
        <v>25</v>
      </c>
      <c r="U15" s="19" t="s">
        <v>78</v>
      </c>
      <c r="V15" s="19" t="s">
        <v>26</v>
      </c>
      <c r="W15" s="18" t="s">
        <v>29</v>
      </c>
    </row>
    <row r="16" spans="1:29" ht="79.95" customHeight="1" x14ac:dyDescent="0.5">
      <c r="A16" s="66">
        <v>1</v>
      </c>
      <c r="B16" s="19" t="s">
        <v>27</v>
      </c>
      <c r="C16" s="19" t="s">
        <v>69</v>
      </c>
      <c r="D16" s="19" t="s">
        <v>28</v>
      </c>
      <c r="E16" s="18" t="s">
        <v>24</v>
      </c>
      <c r="G16" s="7">
        <v>2</v>
      </c>
      <c r="H16" s="19" t="s">
        <v>27</v>
      </c>
      <c r="I16" s="19" t="s">
        <v>73</v>
      </c>
      <c r="J16" s="19" t="s">
        <v>28</v>
      </c>
      <c r="K16" s="18" t="s">
        <v>29</v>
      </c>
      <c r="M16" s="26">
        <v>3</v>
      </c>
      <c r="N16" s="19" t="s">
        <v>27</v>
      </c>
      <c r="O16" s="19" t="s">
        <v>77</v>
      </c>
      <c r="P16" s="19" t="s">
        <v>28</v>
      </c>
      <c r="Q16" s="18" t="s">
        <v>29</v>
      </c>
      <c r="S16" s="26">
        <v>4</v>
      </c>
      <c r="T16" s="19" t="s">
        <v>27</v>
      </c>
      <c r="U16" s="19" t="s">
        <v>79</v>
      </c>
      <c r="V16" s="19" t="s">
        <v>28</v>
      </c>
      <c r="W16" s="18" t="s">
        <v>29</v>
      </c>
    </row>
    <row r="17" spans="1:29" ht="79.95" customHeight="1" x14ac:dyDescent="0.5">
      <c r="A17" s="66">
        <v>1</v>
      </c>
      <c r="B17" s="19" t="s">
        <v>30</v>
      </c>
      <c r="C17" s="19" t="s">
        <v>70</v>
      </c>
      <c r="D17" s="19" t="s">
        <v>31</v>
      </c>
      <c r="E17" s="18" t="s">
        <v>24</v>
      </c>
      <c r="G17" s="7">
        <v>2</v>
      </c>
      <c r="H17" s="19" t="s">
        <v>30</v>
      </c>
      <c r="I17" s="19" t="s">
        <v>74</v>
      </c>
      <c r="J17" s="19" t="s">
        <v>31</v>
      </c>
      <c r="K17" s="18" t="s">
        <v>29</v>
      </c>
      <c r="M17" s="26">
        <v>3</v>
      </c>
      <c r="N17" s="19" t="s">
        <v>30</v>
      </c>
      <c r="O17" s="19" t="s">
        <v>77</v>
      </c>
      <c r="P17" s="19" t="s">
        <v>31</v>
      </c>
      <c r="Q17" s="18" t="s">
        <v>29</v>
      </c>
      <c r="S17" s="26">
        <v>4</v>
      </c>
      <c r="T17" s="19" t="s">
        <v>30</v>
      </c>
      <c r="U17" s="19" t="s">
        <v>74</v>
      </c>
      <c r="V17" s="19" t="s">
        <v>31</v>
      </c>
      <c r="W17" s="18" t="s">
        <v>29</v>
      </c>
    </row>
    <row r="18" spans="1:29" ht="79.95" customHeight="1" x14ac:dyDescent="0.5">
      <c r="A18" s="66">
        <v>1</v>
      </c>
      <c r="B18" s="19" t="s">
        <v>32</v>
      </c>
      <c r="C18" s="19" t="s">
        <v>38</v>
      </c>
      <c r="D18" s="19" t="s">
        <v>33</v>
      </c>
      <c r="E18" s="18" t="s">
        <v>24</v>
      </c>
      <c r="G18" s="7">
        <v>2</v>
      </c>
      <c r="H18" s="19" t="s">
        <v>32</v>
      </c>
      <c r="I18" s="19" t="s">
        <v>75</v>
      </c>
      <c r="J18" s="19" t="s">
        <v>33</v>
      </c>
      <c r="K18" s="18" t="s">
        <v>24</v>
      </c>
      <c r="M18" s="26">
        <v>3</v>
      </c>
      <c r="N18" s="19" t="s">
        <v>32</v>
      </c>
      <c r="O18" s="19" t="s">
        <v>76</v>
      </c>
      <c r="P18" s="19" t="s">
        <v>33</v>
      </c>
      <c r="Q18" s="18" t="s">
        <v>29</v>
      </c>
      <c r="S18" s="26">
        <v>4</v>
      </c>
      <c r="T18" s="19" t="s">
        <v>32</v>
      </c>
      <c r="U18" s="19" t="s">
        <v>80</v>
      </c>
      <c r="V18" s="19" t="s">
        <v>33</v>
      </c>
      <c r="W18" s="18" t="s">
        <v>29</v>
      </c>
    </row>
    <row r="19" spans="1:29" ht="79.95" customHeight="1" x14ac:dyDescent="0.5"/>
    <row r="20" spans="1:29" ht="79.95" customHeight="1" x14ac:dyDescent="0.5">
      <c r="A20" s="27" t="s">
        <v>47</v>
      </c>
      <c r="B20" s="5" t="s">
        <v>17</v>
      </c>
      <c r="C20" s="5" t="s">
        <v>18</v>
      </c>
      <c r="D20" s="5" t="s">
        <v>19</v>
      </c>
      <c r="E20" s="5" t="s">
        <v>20</v>
      </c>
      <c r="G20" s="27" t="s">
        <v>47</v>
      </c>
      <c r="H20" s="5" t="s">
        <v>17</v>
      </c>
      <c r="I20" s="5" t="s">
        <v>18</v>
      </c>
      <c r="J20" s="5" t="s">
        <v>19</v>
      </c>
      <c r="K20" s="5" t="s">
        <v>20</v>
      </c>
      <c r="M20" s="27" t="s">
        <v>47</v>
      </c>
      <c r="N20" s="5" t="s">
        <v>17</v>
      </c>
      <c r="O20" s="5" t="s">
        <v>18</v>
      </c>
      <c r="P20" s="5" t="s">
        <v>19</v>
      </c>
      <c r="Q20" s="5" t="s">
        <v>20</v>
      </c>
      <c r="S20" s="27" t="s">
        <v>47</v>
      </c>
      <c r="T20" s="5" t="s">
        <v>17</v>
      </c>
      <c r="U20" s="5" t="s">
        <v>18</v>
      </c>
      <c r="V20" s="5" t="s">
        <v>19</v>
      </c>
      <c r="W20" s="5" t="s">
        <v>20</v>
      </c>
      <c r="Y20" s="72" t="s">
        <v>45</v>
      </c>
      <c r="Z20" s="68" t="s">
        <v>54</v>
      </c>
      <c r="AA20" s="69"/>
      <c r="AB20" s="69"/>
      <c r="AC20" s="69"/>
    </row>
    <row r="21" spans="1:29" ht="79.95" customHeight="1" x14ac:dyDescent="0.5">
      <c r="A21" s="16">
        <v>1</v>
      </c>
      <c r="B21" s="17" t="s">
        <v>21</v>
      </c>
      <c r="C21" s="17" t="s">
        <v>22</v>
      </c>
      <c r="D21" s="17" t="s">
        <v>23</v>
      </c>
      <c r="E21" s="16" t="s">
        <v>24</v>
      </c>
      <c r="G21" s="16">
        <v>2</v>
      </c>
      <c r="H21" s="17" t="s">
        <v>21</v>
      </c>
      <c r="I21" s="17" t="s">
        <v>84</v>
      </c>
      <c r="J21" s="17" t="s">
        <v>23</v>
      </c>
      <c r="K21" s="16" t="s">
        <v>29</v>
      </c>
      <c r="M21" s="16">
        <v>3</v>
      </c>
      <c r="N21" s="17" t="s">
        <v>21</v>
      </c>
      <c r="O21" s="17" t="s">
        <v>88</v>
      </c>
      <c r="P21" s="17" t="s">
        <v>23</v>
      </c>
      <c r="Q21" s="16" t="s">
        <v>29</v>
      </c>
      <c r="S21" s="16">
        <v>4</v>
      </c>
      <c r="T21" s="17" t="s">
        <v>21</v>
      </c>
      <c r="U21" s="17" t="s">
        <v>92</v>
      </c>
      <c r="V21" s="17" t="s">
        <v>23</v>
      </c>
      <c r="W21" s="16" t="s">
        <v>29</v>
      </c>
      <c r="Y21" s="73"/>
      <c r="Z21" s="57">
        <v>1</v>
      </c>
      <c r="AA21" s="29">
        <v>2</v>
      </c>
      <c r="AB21" s="58">
        <v>3</v>
      </c>
      <c r="AC21" s="59">
        <v>4</v>
      </c>
    </row>
    <row r="22" spans="1:29" ht="79.95" customHeight="1" x14ac:dyDescent="0.5">
      <c r="A22" s="26">
        <v>1</v>
      </c>
      <c r="B22" s="23" t="s">
        <v>25</v>
      </c>
      <c r="C22" s="23" t="s">
        <v>81</v>
      </c>
      <c r="D22" s="23" t="s">
        <v>26</v>
      </c>
      <c r="E22" s="22" t="s">
        <v>24</v>
      </c>
      <c r="G22" s="26">
        <v>2</v>
      </c>
      <c r="H22" s="23" t="s">
        <v>25</v>
      </c>
      <c r="I22" s="23" t="s">
        <v>85</v>
      </c>
      <c r="J22" s="23" t="s">
        <v>26</v>
      </c>
      <c r="K22" s="22" t="s">
        <v>24</v>
      </c>
      <c r="M22" s="26">
        <v>3</v>
      </c>
      <c r="N22" s="23" t="s">
        <v>25</v>
      </c>
      <c r="O22" s="23" t="s">
        <v>89</v>
      </c>
      <c r="P22" s="23" t="s">
        <v>26</v>
      </c>
      <c r="Q22" s="22" t="s">
        <v>24</v>
      </c>
      <c r="S22" s="26">
        <v>4</v>
      </c>
      <c r="T22" s="23" t="s">
        <v>25</v>
      </c>
      <c r="U22" s="23" t="s">
        <v>85</v>
      </c>
      <c r="V22" s="23" t="s">
        <v>26</v>
      </c>
      <c r="W22" s="22" t="s">
        <v>24</v>
      </c>
      <c r="Y22" s="32" t="s">
        <v>49</v>
      </c>
      <c r="Z22" s="32">
        <f>COUNTIF(E21:E35, "A")</f>
        <v>11</v>
      </c>
      <c r="AA22" s="32">
        <f>COUNTIF(K21:K35, "A")</f>
        <v>7</v>
      </c>
      <c r="AB22" s="32">
        <f>COUNTIF(Q21:Q35, "A")</f>
        <v>9</v>
      </c>
      <c r="AC22" s="32">
        <f>COUNTIF(W21:W35, "A")</f>
        <v>7</v>
      </c>
    </row>
    <row r="23" spans="1:29" ht="79.95" customHeight="1" x14ac:dyDescent="0.5">
      <c r="A23" s="26">
        <v>1</v>
      </c>
      <c r="B23" s="23" t="s">
        <v>27</v>
      </c>
      <c r="C23" s="23" t="s">
        <v>37</v>
      </c>
      <c r="D23" s="23" t="s">
        <v>28</v>
      </c>
      <c r="E23" s="22" t="s">
        <v>24</v>
      </c>
      <c r="G23" s="26">
        <v>2</v>
      </c>
      <c r="H23" s="23" t="s">
        <v>27</v>
      </c>
      <c r="I23" s="23" t="s">
        <v>37</v>
      </c>
      <c r="J23" s="23" t="s">
        <v>28</v>
      </c>
      <c r="K23" s="22" t="s">
        <v>24</v>
      </c>
      <c r="M23" s="26">
        <v>3</v>
      </c>
      <c r="N23" s="23" t="s">
        <v>27</v>
      </c>
      <c r="O23" s="23" t="s">
        <v>37</v>
      </c>
      <c r="P23" s="23" t="s">
        <v>28</v>
      </c>
      <c r="Q23" s="22" t="s">
        <v>24</v>
      </c>
      <c r="S23" s="26">
        <v>4</v>
      </c>
      <c r="T23" s="23" t="s">
        <v>27</v>
      </c>
      <c r="U23" s="23" t="s">
        <v>37</v>
      </c>
      <c r="V23" s="23" t="s">
        <v>28</v>
      </c>
      <c r="W23" s="22" t="s">
        <v>24</v>
      </c>
      <c r="Y23" s="33" t="s">
        <v>50</v>
      </c>
      <c r="Z23" s="33">
        <f>COUNTIF(E21:E35, "B")</f>
        <v>4</v>
      </c>
      <c r="AA23" s="33">
        <f>COUNTIF(K21:K35, "B")</f>
        <v>7</v>
      </c>
      <c r="AB23" s="33">
        <f>COUNTIF(Q21:Q35, "B")</f>
        <v>6</v>
      </c>
      <c r="AC23" s="33">
        <f>COUNTIF(W21:W35, "B")</f>
        <v>7</v>
      </c>
    </row>
    <row r="24" spans="1:29" ht="79.95" customHeight="1" x14ac:dyDescent="0.5">
      <c r="A24" s="26">
        <v>1</v>
      </c>
      <c r="B24" s="23" t="s">
        <v>30</v>
      </c>
      <c r="C24" s="23" t="s">
        <v>82</v>
      </c>
      <c r="D24" s="23" t="s">
        <v>31</v>
      </c>
      <c r="E24" s="22" t="s">
        <v>29</v>
      </c>
      <c r="G24" s="26">
        <v>2</v>
      </c>
      <c r="H24" s="23" t="s">
        <v>30</v>
      </c>
      <c r="I24" s="23" t="s">
        <v>86</v>
      </c>
      <c r="J24" s="23" t="s">
        <v>31</v>
      </c>
      <c r="K24" s="22" t="s">
        <v>29</v>
      </c>
      <c r="M24" s="26">
        <v>3</v>
      </c>
      <c r="N24" s="23" t="s">
        <v>30</v>
      </c>
      <c r="O24" s="23" t="s">
        <v>90</v>
      </c>
      <c r="P24" s="23" t="s">
        <v>31</v>
      </c>
      <c r="Q24" s="22" t="s">
        <v>29</v>
      </c>
      <c r="S24" s="26">
        <v>4</v>
      </c>
      <c r="T24" s="23" t="s">
        <v>30</v>
      </c>
      <c r="U24" s="23" t="s">
        <v>86</v>
      </c>
      <c r="V24" s="23" t="s">
        <v>31</v>
      </c>
      <c r="W24" s="22" t="s">
        <v>29</v>
      </c>
      <c r="Y24" s="34" t="s">
        <v>34</v>
      </c>
      <c r="Z24" s="34">
        <f>COUNTIF(E21:E35, "Tie")</f>
        <v>0</v>
      </c>
      <c r="AA24" s="34">
        <f>COUNTIF(K21:K35, "Tie")</f>
        <v>1</v>
      </c>
      <c r="AB24" s="34">
        <f>COUNTIF(Q21:Q35, "Tie")</f>
        <v>0</v>
      </c>
      <c r="AC24" s="34">
        <f>COUNTIF(W21:W35, "Tie")</f>
        <v>1</v>
      </c>
    </row>
    <row r="25" spans="1:29" ht="79.95" customHeight="1" x14ac:dyDescent="0.5">
      <c r="A25" s="26">
        <v>1</v>
      </c>
      <c r="B25" s="23" t="s">
        <v>32</v>
      </c>
      <c r="C25" s="23" t="s">
        <v>83</v>
      </c>
      <c r="D25" s="23" t="s">
        <v>33</v>
      </c>
      <c r="E25" s="22" t="s">
        <v>24</v>
      </c>
      <c r="G25" s="26">
        <v>2</v>
      </c>
      <c r="H25" s="23" t="s">
        <v>32</v>
      </c>
      <c r="I25" s="23" t="s">
        <v>87</v>
      </c>
      <c r="J25" s="23" t="s">
        <v>33</v>
      </c>
      <c r="K25" s="22" t="s">
        <v>24</v>
      </c>
      <c r="M25" s="26">
        <v>3</v>
      </c>
      <c r="N25" s="23" t="s">
        <v>32</v>
      </c>
      <c r="O25" s="23" t="s">
        <v>91</v>
      </c>
      <c r="P25" s="23" t="s">
        <v>33</v>
      </c>
      <c r="Q25" s="22" t="s">
        <v>24</v>
      </c>
      <c r="S25" s="26">
        <v>4</v>
      </c>
      <c r="T25" s="23" t="s">
        <v>32</v>
      </c>
      <c r="U25" s="23" t="s">
        <v>87</v>
      </c>
      <c r="V25" s="23" t="s">
        <v>33</v>
      </c>
      <c r="W25" s="22" t="s">
        <v>24</v>
      </c>
      <c r="Y25" s="35" t="s">
        <v>42</v>
      </c>
      <c r="Z25" s="35">
        <f>SUM(Z22:Z24)</f>
        <v>15</v>
      </c>
      <c r="AA25" s="35">
        <f>SUM(AA22:AA24)</f>
        <v>15</v>
      </c>
      <c r="AB25" s="35">
        <f>SUM(AB22:AB24)</f>
        <v>15</v>
      </c>
      <c r="AC25" s="35">
        <f>SUM(AC22:AC24)</f>
        <v>15</v>
      </c>
    </row>
    <row r="26" spans="1:29" ht="79.95" customHeight="1" x14ac:dyDescent="0.5">
      <c r="A26" s="16">
        <v>1</v>
      </c>
      <c r="B26" s="17" t="s">
        <v>21</v>
      </c>
      <c r="C26" s="17" t="s">
        <v>22</v>
      </c>
      <c r="D26" s="17" t="s">
        <v>23</v>
      </c>
      <c r="E26" s="16" t="s">
        <v>24</v>
      </c>
      <c r="G26" s="16">
        <v>2</v>
      </c>
      <c r="H26" s="17" t="s">
        <v>21</v>
      </c>
      <c r="I26" s="17" t="s">
        <v>84</v>
      </c>
      <c r="J26" s="17" t="s">
        <v>23</v>
      </c>
      <c r="K26" s="16" t="s">
        <v>29</v>
      </c>
      <c r="M26" s="16">
        <v>3</v>
      </c>
      <c r="N26" s="17" t="s">
        <v>21</v>
      </c>
      <c r="O26" s="17" t="s">
        <v>88</v>
      </c>
      <c r="P26" s="17" t="s">
        <v>23</v>
      </c>
      <c r="Q26" s="16" t="s">
        <v>29</v>
      </c>
      <c r="S26" s="16">
        <v>4</v>
      </c>
      <c r="T26" s="17" t="s">
        <v>21</v>
      </c>
      <c r="U26" s="17" t="s">
        <v>92</v>
      </c>
      <c r="V26" s="17" t="s">
        <v>23</v>
      </c>
      <c r="W26" s="16" t="s">
        <v>29</v>
      </c>
      <c r="Y26" s="36" t="s">
        <v>51</v>
      </c>
      <c r="Z26" s="54">
        <f>Z22/$Z$8*100</f>
        <v>73.333333333333329</v>
      </c>
      <c r="AA26" s="54">
        <f>AA22/$Z$8*100</f>
        <v>46.666666666666664</v>
      </c>
      <c r="AB26" s="54">
        <f t="shared" ref="Z26:AC28" si="1">AB22/$Z$8*100</f>
        <v>60</v>
      </c>
      <c r="AC26" s="54">
        <f t="shared" si="1"/>
        <v>46.666666666666664</v>
      </c>
    </row>
    <row r="27" spans="1:29" ht="79.95" customHeight="1" x14ac:dyDescent="0.5">
      <c r="A27" s="26">
        <v>1</v>
      </c>
      <c r="B27" s="23" t="s">
        <v>25</v>
      </c>
      <c r="C27" s="23" t="s">
        <v>81</v>
      </c>
      <c r="D27" s="23" t="s">
        <v>26</v>
      </c>
      <c r="E27" s="22" t="s">
        <v>24</v>
      </c>
      <c r="G27" s="26">
        <v>2</v>
      </c>
      <c r="H27" s="23" t="s">
        <v>25</v>
      </c>
      <c r="I27" s="23" t="s">
        <v>85</v>
      </c>
      <c r="J27" s="23" t="s">
        <v>26</v>
      </c>
      <c r="K27" s="22" t="s">
        <v>24</v>
      </c>
      <c r="M27" s="26">
        <v>3</v>
      </c>
      <c r="N27" s="23" t="s">
        <v>25</v>
      </c>
      <c r="O27" s="23" t="s">
        <v>89</v>
      </c>
      <c r="P27" s="23" t="s">
        <v>26</v>
      </c>
      <c r="Q27" s="22" t="s">
        <v>24</v>
      </c>
      <c r="S27" s="7">
        <v>4</v>
      </c>
      <c r="T27" s="23" t="s">
        <v>25</v>
      </c>
      <c r="U27" s="23" t="s">
        <v>85</v>
      </c>
      <c r="V27" s="23" t="s">
        <v>26</v>
      </c>
      <c r="W27" s="22" t="s">
        <v>24</v>
      </c>
      <c r="Y27" s="38" t="s">
        <v>52</v>
      </c>
      <c r="Z27" s="55">
        <f t="shared" si="1"/>
        <v>26.666666666666668</v>
      </c>
      <c r="AA27" s="55">
        <f t="shared" si="1"/>
        <v>46.666666666666664</v>
      </c>
      <c r="AB27" s="55">
        <f t="shared" si="1"/>
        <v>40</v>
      </c>
      <c r="AC27" s="55">
        <f t="shared" si="1"/>
        <v>46.666666666666664</v>
      </c>
    </row>
    <row r="28" spans="1:29" ht="79.95" customHeight="1" x14ac:dyDescent="0.5">
      <c r="A28" s="26">
        <v>1</v>
      </c>
      <c r="B28" s="23" t="s">
        <v>27</v>
      </c>
      <c r="C28" s="23" t="s">
        <v>37</v>
      </c>
      <c r="D28" s="23" t="s">
        <v>28</v>
      </c>
      <c r="E28" s="22" t="s">
        <v>24</v>
      </c>
      <c r="G28" s="26">
        <v>2</v>
      </c>
      <c r="H28" s="23" t="s">
        <v>27</v>
      </c>
      <c r="I28" s="23" t="s">
        <v>37</v>
      </c>
      <c r="J28" s="23" t="s">
        <v>28</v>
      </c>
      <c r="K28" s="22" t="s">
        <v>24</v>
      </c>
      <c r="M28" s="26">
        <v>3</v>
      </c>
      <c r="N28" s="23" t="s">
        <v>27</v>
      </c>
      <c r="O28" s="23" t="s">
        <v>37</v>
      </c>
      <c r="P28" s="23" t="s">
        <v>28</v>
      </c>
      <c r="Q28" s="22" t="s">
        <v>24</v>
      </c>
      <c r="S28" s="7">
        <v>4</v>
      </c>
      <c r="T28" s="23" t="s">
        <v>27</v>
      </c>
      <c r="U28" s="23" t="s">
        <v>37</v>
      </c>
      <c r="V28" s="23" t="s">
        <v>28</v>
      </c>
      <c r="W28" s="22" t="s">
        <v>24</v>
      </c>
      <c r="Y28" s="40" t="s">
        <v>53</v>
      </c>
      <c r="Z28" s="56">
        <f t="shared" si="1"/>
        <v>0</v>
      </c>
      <c r="AA28" s="56">
        <f t="shared" si="1"/>
        <v>6.666666666666667</v>
      </c>
      <c r="AB28" s="56">
        <f t="shared" si="1"/>
        <v>0</v>
      </c>
      <c r="AC28" s="56">
        <f t="shared" si="1"/>
        <v>6.666666666666667</v>
      </c>
    </row>
    <row r="29" spans="1:29" ht="79.95" customHeight="1" x14ac:dyDescent="0.5">
      <c r="A29" s="26">
        <v>1</v>
      </c>
      <c r="B29" s="23" t="s">
        <v>30</v>
      </c>
      <c r="C29" s="23" t="s">
        <v>82</v>
      </c>
      <c r="D29" s="23" t="s">
        <v>31</v>
      </c>
      <c r="E29" s="22" t="s">
        <v>29</v>
      </c>
      <c r="G29" s="26">
        <v>2</v>
      </c>
      <c r="H29" s="23" t="s">
        <v>30</v>
      </c>
      <c r="I29" s="23" t="s">
        <v>86</v>
      </c>
      <c r="J29" s="23" t="s">
        <v>31</v>
      </c>
      <c r="K29" s="22" t="s">
        <v>29</v>
      </c>
      <c r="M29" s="26">
        <v>3</v>
      </c>
      <c r="N29" s="23" t="s">
        <v>30</v>
      </c>
      <c r="O29" s="23" t="s">
        <v>90</v>
      </c>
      <c r="P29" s="23" t="s">
        <v>31</v>
      </c>
      <c r="Q29" s="22" t="s">
        <v>24</v>
      </c>
      <c r="S29" s="7">
        <v>4</v>
      </c>
      <c r="T29" s="23" t="s">
        <v>30</v>
      </c>
      <c r="U29" s="23" t="s">
        <v>86</v>
      </c>
      <c r="V29" s="23" t="s">
        <v>31</v>
      </c>
      <c r="W29" s="22" t="s">
        <v>29</v>
      </c>
    </row>
    <row r="30" spans="1:29" ht="79.95" customHeight="1" x14ac:dyDescent="0.5">
      <c r="A30" s="26">
        <v>1</v>
      </c>
      <c r="B30" s="23" t="s">
        <v>32</v>
      </c>
      <c r="C30" s="23" t="s">
        <v>83</v>
      </c>
      <c r="D30" s="23" t="s">
        <v>33</v>
      </c>
      <c r="E30" s="22" t="s">
        <v>24</v>
      </c>
      <c r="G30" s="26">
        <v>2</v>
      </c>
      <c r="H30" s="23" t="s">
        <v>32</v>
      </c>
      <c r="I30" s="23" t="s">
        <v>87</v>
      </c>
      <c r="J30" s="23" t="s">
        <v>33</v>
      </c>
      <c r="K30" s="22" t="s">
        <v>24</v>
      </c>
      <c r="M30" s="26">
        <v>3</v>
      </c>
      <c r="N30" s="23" t="s">
        <v>32</v>
      </c>
      <c r="O30" s="23" t="s">
        <v>91</v>
      </c>
      <c r="P30" s="23" t="s">
        <v>33</v>
      </c>
      <c r="Q30" s="22" t="s">
        <v>24</v>
      </c>
      <c r="S30" s="7">
        <v>4</v>
      </c>
      <c r="T30" s="23" t="s">
        <v>32</v>
      </c>
      <c r="U30" s="23" t="s">
        <v>87</v>
      </c>
      <c r="V30" s="23" t="s">
        <v>33</v>
      </c>
      <c r="W30" s="22" t="s">
        <v>24</v>
      </c>
    </row>
    <row r="31" spans="1:29" ht="79.95" customHeight="1" x14ac:dyDescent="0.5">
      <c r="A31" s="16">
        <v>1</v>
      </c>
      <c r="B31" s="17" t="s">
        <v>21</v>
      </c>
      <c r="C31" s="17" t="s">
        <v>22</v>
      </c>
      <c r="D31" s="17" t="s">
        <v>23</v>
      </c>
      <c r="E31" s="16" t="s">
        <v>24</v>
      </c>
      <c r="G31" s="16">
        <v>2</v>
      </c>
      <c r="H31" s="17" t="s">
        <v>21</v>
      </c>
      <c r="I31" s="17" t="s">
        <v>84</v>
      </c>
      <c r="J31" s="17" t="s">
        <v>23</v>
      </c>
      <c r="K31" s="16" t="s">
        <v>29</v>
      </c>
      <c r="M31" s="16">
        <v>3</v>
      </c>
      <c r="N31" s="17" t="s">
        <v>21</v>
      </c>
      <c r="O31" s="17" t="s">
        <v>88</v>
      </c>
      <c r="P31" s="17" t="s">
        <v>23</v>
      </c>
      <c r="Q31" s="16" t="s">
        <v>29</v>
      </c>
      <c r="S31" s="16">
        <v>4</v>
      </c>
      <c r="T31" s="17" t="s">
        <v>21</v>
      </c>
      <c r="U31" s="17" t="s">
        <v>92</v>
      </c>
      <c r="V31" s="17" t="s">
        <v>23</v>
      </c>
      <c r="W31" s="16" t="s">
        <v>29</v>
      </c>
    </row>
    <row r="32" spans="1:29" ht="79.95" customHeight="1" x14ac:dyDescent="0.5">
      <c r="A32" s="7">
        <v>1</v>
      </c>
      <c r="B32" s="23" t="s">
        <v>25</v>
      </c>
      <c r="C32" s="23" t="s">
        <v>81</v>
      </c>
      <c r="D32" s="23" t="s">
        <v>26</v>
      </c>
      <c r="E32" s="22" t="s">
        <v>29</v>
      </c>
      <c r="G32" s="7">
        <v>2</v>
      </c>
      <c r="H32" s="23" t="s">
        <v>25</v>
      </c>
      <c r="I32" s="23" t="s">
        <v>85</v>
      </c>
      <c r="J32" s="23" t="s">
        <v>26</v>
      </c>
      <c r="K32" s="22" t="s">
        <v>29</v>
      </c>
      <c r="M32" s="26">
        <v>3</v>
      </c>
      <c r="N32" s="23" t="s">
        <v>25</v>
      </c>
      <c r="O32" s="23" t="s">
        <v>89</v>
      </c>
      <c r="P32" s="23" t="s">
        <v>26</v>
      </c>
      <c r="Q32" s="22" t="s">
        <v>29</v>
      </c>
      <c r="S32" s="26">
        <v>4</v>
      </c>
      <c r="T32" s="23" t="s">
        <v>25</v>
      </c>
      <c r="U32" s="23" t="s">
        <v>85</v>
      </c>
      <c r="V32" s="23" t="s">
        <v>26</v>
      </c>
      <c r="W32" s="22" t="s">
        <v>29</v>
      </c>
    </row>
    <row r="33" spans="1:29" ht="79.95" customHeight="1" x14ac:dyDescent="0.5">
      <c r="A33" s="7">
        <v>1</v>
      </c>
      <c r="B33" s="23" t="s">
        <v>27</v>
      </c>
      <c r="C33" s="23" t="s">
        <v>37</v>
      </c>
      <c r="D33" s="23" t="s">
        <v>28</v>
      </c>
      <c r="E33" s="22" t="s">
        <v>24</v>
      </c>
      <c r="G33" s="7">
        <v>2</v>
      </c>
      <c r="H33" s="23" t="s">
        <v>27</v>
      </c>
      <c r="I33" s="23" t="s">
        <v>37</v>
      </c>
      <c r="J33" s="23" t="s">
        <v>28</v>
      </c>
      <c r="K33" s="22" t="s">
        <v>24</v>
      </c>
      <c r="M33" s="26">
        <v>3</v>
      </c>
      <c r="N33" s="23" t="s">
        <v>27</v>
      </c>
      <c r="O33" s="23" t="s">
        <v>37</v>
      </c>
      <c r="P33" s="23" t="s">
        <v>28</v>
      </c>
      <c r="Q33" s="22" t="s">
        <v>24</v>
      </c>
      <c r="S33" s="26">
        <v>4</v>
      </c>
      <c r="T33" s="23" t="s">
        <v>27</v>
      </c>
      <c r="U33" s="23" t="s">
        <v>37</v>
      </c>
      <c r="V33" s="23" t="s">
        <v>28</v>
      </c>
      <c r="W33" s="22" t="s">
        <v>24</v>
      </c>
    </row>
    <row r="34" spans="1:29" ht="79.95" customHeight="1" x14ac:dyDescent="0.5">
      <c r="A34" s="7">
        <v>1</v>
      </c>
      <c r="B34" s="23" t="s">
        <v>30</v>
      </c>
      <c r="C34" s="23" t="s">
        <v>82</v>
      </c>
      <c r="D34" s="23" t="s">
        <v>31</v>
      </c>
      <c r="E34" s="22" t="s">
        <v>29</v>
      </c>
      <c r="G34" s="7">
        <v>2</v>
      </c>
      <c r="H34" s="23" t="s">
        <v>30</v>
      </c>
      <c r="I34" s="23" t="s">
        <v>86</v>
      </c>
      <c r="J34" s="23" t="s">
        <v>31</v>
      </c>
      <c r="K34" s="22" t="s">
        <v>29</v>
      </c>
      <c r="M34" s="26">
        <v>3</v>
      </c>
      <c r="N34" s="23" t="s">
        <v>30</v>
      </c>
      <c r="O34" s="23" t="s">
        <v>90</v>
      </c>
      <c r="P34" s="23" t="s">
        <v>31</v>
      </c>
      <c r="Q34" s="22" t="s">
        <v>29</v>
      </c>
      <c r="S34" s="26">
        <v>4</v>
      </c>
      <c r="T34" s="23" t="s">
        <v>30</v>
      </c>
      <c r="U34" s="23" t="s">
        <v>86</v>
      </c>
      <c r="V34" s="23" t="s">
        <v>31</v>
      </c>
      <c r="W34" s="22" t="s">
        <v>29</v>
      </c>
    </row>
    <row r="35" spans="1:29" ht="79.95" customHeight="1" x14ac:dyDescent="0.5">
      <c r="A35" s="7">
        <v>1</v>
      </c>
      <c r="B35" s="23" t="s">
        <v>32</v>
      </c>
      <c r="C35" s="23" t="s">
        <v>83</v>
      </c>
      <c r="D35" s="23" t="s">
        <v>33</v>
      </c>
      <c r="E35" s="22" t="s">
        <v>24</v>
      </c>
      <c r="G35" s="7">
        <v>2</v>
      </c>
      <c r="H35" s="23" t="s">
        <v>32</v>
      </c>
      <c r="I35" s="23" t="s">
        <v>87</v>
      </c>
      <c r="J35" s="23" t="s">
        <v>33</v>
      </c>
      <c r="K35" s="22" t="s">
        <v>34</v>
      </c>
      <c r="M35" s="26">
        <v>3</v>
      </c>
      <c r="N35" s="23" t="s">
        <v>32</v>
      </c>
      <c r="O35" s="23" t="s">
        <v>91</v>
      </c>
      <c r="P35" s="23" t="s">
        <v>33</v>
      </c>
      <c r="Q35" s="22" t="s">
        <v>24</v>
      </c>
      <c r="S35" s="26">
        <v>4</v>
      </c>
      <c r="T35" s="23" t="s">
        <v>32</v>
      </c>
      <c r="U35" s="23" t="s">
        <v>87</v>
      </c>
      <c r="V35" s="23" t="s">
        <v>33</v>
      </c>
      <c r="W35" s="22" t="s">
        <v>34</v>
      </c>
    </row>
    <row r="36" spans="1:29" ht="79.95" customHeight="1" x14ac:dyDescent="0.5"/>
    <row r="37" spans="1:29" ht="79.95" customHeight="1" x14ac:dyDescent="0.5">
      <c r="A37" s="27" t="s">
        <v>47</v>
      </c>
      <c r="B37" s="5" t="s">
        <v>17</v>
      </c>
      <c r="C37" s="5" t="s">
        <v>18</v>
      </c>
      <c r="D37" s="5" t="s">
        <v>19</v>
      </c>
      <c r="E37" s="5" t="s">
        <v>20</v>
      </c>
      <c r="G37" s="27" t="s">
        <v>47</v>
      </c>
      <c r="H37" s="5" t="s">
        <v>17</v>
      </c>
      <c r="I37" s="5" t="s">
        <v>18</v>
      </c>
      <c r="J37" s="5" t="s">
        <v>19</v>
      </c>
      <c r="K37" s="5" t="s">
        <v>20</v>
      </c>
      <c r="M37" s="27" t="s">
        <v>47</v>
      </c>
      <c r="N37" s="5" t="s">
        <v>17</v>
      </c>
      <c r="O37" s="5" t="s">
        <v>18</v>
      </c>
      <c r="P37" s="5" t="s">
        <v>19</v>
      </c>
      <c r="Q37" s="5" t="s">
        <v>20</v>
      </c>
      <c r="S37" s="27" t="s">
        <v>47</v>
      </c>
      <c r="T37" s="5" t="s">
        <v>17</v>
      </c>
      <c r="U37" s="5" t="s">
        <v>18</v>
      </c>
      <c r="V37" s="5" t="s">
        <v>19</v>
      </c>
      <c r="W37" s="5" t="s">
        <v>20</v>
      </c>
      <c r="Y37" s="74" t="s">
        <v>46</v>
      </c>
      <c r="Z37" s="68" t="s">
        <v>54</v>
      </c>
      <c r="AA37" s="69"/>
      <c r="AB37" s="69"/>
      <c r="AC37" s="69"/>
    </row>
    <row r="38" spans="1:29" ht="79.95" customHeight="1" x14ac:dyDescent="0.5">
      <c r="A38" s="16">
        <v>1</v>
      </c>
      <c r="B38" s="17" t="s">
        <v>21</v>
      </c>
      <c r="C38" s="17" t="s">
        <v>22</v>
      </c>
      <c r="D38" s="17" t="s">
        <v>23</v>
      </c>
      <c r="E38" s="16" t="s">
        <v>24</v>
      </c>
      <c r="G38" s="16">
        <v>2</v>
      </c>
      <c r="H38" s="17" t="s">
        <v>21</v>
      </c>
      <c r="I38" s="17" t="s">
        <v>22</v>
      </c>
      <c r="J38" s="17" t="s">
        <v>23</v>
      </c>
      <c r="K38" s="16" t="s">
        <v>24</v>
      </c>
      <c r="M38" s="16">
        <v>3</v>
      </c>
      <c r="N38" s="17" t="s">
        <v>21</v>
      </c>
      <c r="O38" s="17" t="s">
        <v>96</v>
      </c>
      <c r="P38" s="17" t="s">
        <v>23</v>
      </c>
      <c r="Q38" s="16" t="s">
        <v>24</v>
      </c>
      <c r="S38" s="16">
        <v>4</v>
      </c>
      <c r="T38" s="17" t="s">
        <v>21</v>
      </c>
      <c r="U38" s="17" t="s">
        <v>22</v>
      </c>
      <c r="V38" s="17" t="s">
        <v>23</v>
      </c>
      <c r="W38" s="16" t="s">
        <v>24</v>
      </c>
      <c r="Y38" s="75"/>
      <c r="Z38" s="57">
        <v>1</v>
      </c>
      <c r="AA38" s="29">
        <v>2</v>
      </c>
      <c r="AB38" s="58">
        <v>3</v>
      </c>
      <c r="AC38" s="59">
        <v>4</v>
      </c>
    </row>
    <row r="39" spans="1:29" ht="79.95" customHeight="1" x14ac:dyDescent="0.5">
      <c r="A39" s="26">
        <v>1</v>
      </c>
      <c r="B39" s="21" t="s">
        <v>25</v>
      </c>
      <c r="C39" s="21" t="s">
        <v>93</v>
      </c>
      <c r="D39" s="21" t="s">
        <v>26</v>
      </c>
      <c r="E39" s="20" t="s">
        <v>24</v>
      </c>
      <c r="G39" s="26">
        <v>2</v>
      </c>
      <c r="H39" s="21" t="s">
        <v>25</v>
      </c>
      <c r="I39" s="21" t="s">
        <v>95</v>
      </c>
      <c r="J39" s="21" t="s">
        <v>26</v>
      </c>
      <c r="K39" s="20" t="s">
        <v>24</v>
      </c>
      <c r="M39" s="26">
        <v>3</v>
      </c>
      <c r="N39" s="21" t="s">
        <v>25</v>
      </c>
      <c r="O39" s="21" t="s">
        <v>97</v>
      </c>
      <c r="P39" s="21" t="s">
        <v>26</v>
      </c>
      <c r="Q39" s="20" t="s">
        <v>24</v>
      </c>
      <c r="S39" s="26">
        <v>4</v>
      </c>
      <c r="T39" s="21" t="s">
        <v>25</v>
      </c>
      <c r="U39" s="21" t="s">
        <v>95</v>
      </c>
      <c r="V39" s="21" t="s">
        <v>26</v>
      </c>
      <c r="W39" s="20" t="s">
        <v>24</v>
      </c>
      <c r="Y39" s="32" t="s">
        <v>49</v>
      </c>
      <c r="Z39" s="32">
        <f>COUNTIF(E38:E52, "A")</f>
        <v>13</v>
      </c>
      <c r="AA39" s="32">
        <f>COUNTIF(K38:K52, "A")</f>
        <v>11</v>
      </c>
      <c r="AB39" s="32">
        <f>COUNTIF(Q38:Q52, "A")</f>
        <v>11</v>
      </c>
      <c r="AC39" s="32">
        <f>COUNTIF(W38:W52, "A")</f>
        <v>11</v>
      </c>
    </row>
    <row r="40" spans="1:29" ht="79.95" customHeight="1" x14ac:dyDescent="0.5">
      <c r="A40" s="26">
        <v>1</v>
      </c>
      <c r="B40" s="21" t="s">
        <v>27</v>
      </c>
      <c r="C40" s="21" t="s">
        <v>37</v>
      </c>
      <c r="D40" s="21" t="s">
        <v>28</v>
      </c>
      <c r="E40" s="20" t="s">
        <v>24</v>
      </c>
      <c r="G40" s="26">
        <v>2</v>
      </c>
      <c r="H40" s="21" t="s">
        <v>27</v>
      </c>
      <c r="I40" s="21" t="s">
        <v>37</v>
      </c>
      <c r="J40" s="21" t="s">
        <v>28</v>
      </c>
      <c r="K40" s="20" t="s">
        <v>24</v>
      </c>
      <c r="M40" s="26">
        <v>3</v>
      </c>
      <c r="N40" s="21" t="s">
        <v>27</v>
      </c>
      <c r="O40" s="21" t="s">
        <v>37</v>
      </c>
      <c r="P40" s="21" t="s">
        <v>28</v>
      </c>
      <c r="Q40" s="20" t="s">
        <v>24</v>
      </c>
      <c r="S40" s="26">
        <v>4</v>
      </c>
      <c r="T40" s="21" t="s">
        <v>27</v>
      </c>
      <c r="U40" s="21" t="s">
        <v>37</v>
      </c>
      <c r="V40" s="21" t="s">
        <v>28</v>
      </c>
      <c r="W40" s="20" t="s">
        <v>24</v>
      </c>
      <c r="Y40" s="33" t="s">
        <v>50</v>
      </c>
      <c r="Z40" s="33">
        <f>COUNTIF(E38:E52, "B")</f>
        <v>2</v>
      </c>
      <c r="AA40" s="33">
        <f>COUNTIF(K38:K52, "B")</f>
        <v>0</v>
      </c>
      <c r="AB40" s="33">
        <f>COUNTIF(Q38:Q52, "B")</f>
        <v>1</v>
      </c>
      <c r="AC40" s="33">
        <f>COUNTIF(W38:W52, "B")</f>
        <v>0</v>
      </c>
    </row>
    <row r="41" spans="1:29" ht="79.95" customHeight="1" x14ac:dyDescent="0.5">
      <c r="A41" s="26">
        <v>1</v>
      </c>
      <c r="B41" s="21" t="s">
        <v>30</v>
      </c>
      <c r="C41" s="21" t="s">
        <v>35</v>
      </c>
      <c r="D41" s="21" t="s">
        <v>31</v>
      </c>
      <c r="E41" s="20" t="s">
        <v>24</v>
      </c>
      <c r="G41" s="26">
        <v>2</v>
      </c>
      <c r="H41" s="21" t="s">
        <v>30</v>
      </c>
      <c r="I41" s="21" t="s">
        <v>31</v>
      </c>
      <c r="J41" s="21" t="s">
        <v>31</v>
      </c>
      <c r="K41" s="20" t="s">
        <v>34</v>
      </c>
      <c r="M41" s="26">
        <v>3</v>
      </c>
      <c r="N41" s="21" t="s">
        <v>30</v>
      </c>
      <c r="O41" s="21" t="s">
        <v>35</v>
      </c>
      <c r="P41" s="21" t="s">
        <v>31</v>
      </c>
      <c r="Q41" s="20" t="s">
        <v>24</v>
      </c>
      <c r="S41" s="26">
        <v>4</v>
      </c>
      <c r="T41" s="21" t="s">
        <v>30</v>
      </c>
      <c r="U41" s="21" t="s">
        <v>31</v>
      </c>
      <c r="V41" s="21" t="s">
        <v>31</v>
      </c>
      <c r="W41" s="20" t="s">
        <v>34</v>
      </c>
      <c r="Y41" s="34" t="s">
        <v>34</v>
      </c>
      <c r="Z41" s="34">
        <f>COUNTIF(E38:E52, "Tie")</f>
        <v>0</v>
      </c>
      <c r="AA41" s="34">
        <f>COUNTIF(K38:K52, "Tie")</f>
        <v>4</v>
      </c>
      <c r="AB41" s="34">
        <f>COUNTIF(Q38:Q52, "Tie")</f>
        <v>3</v>
      </c>
      <c r="AC41" s="34">
        <f>COUNTIF(W38:W52, "Tie")</f>
        <v>4</v>
      </c>
    </row>
    <row r="42" spans="1:29" ht="79.95" customHeight="1" x14ac:dyDescent="0.5">
      <c r="A42" s="26">
        <v>1</v>
      </c>
      <c r="B42" s="21" t="s">
        <v>32</v>
      </c>
      <c r="C42" s="21" t="s">
        <v>94</v>
      </c>
      <c r="D42" s="21" t="s">
        <v>33</v>
      </c>
      <c r="E42" s="20" t="s">
        <v>24</v>
      </c>
      <c r="G42" s="26">
        <v>2</v>
      </c>
      <c r="H42" s="21" t="s">
        <v>32</v>
      </c>
      <c r="I42" s="21" t="s">
        <v>87</v>
      </c>
      <c r="J42" s="21" t="s">
        <v>33</v>
      </c>
      <c r="K42" s="20" t="s">
        <v>24</v>
      </c>
      <c r="M42" s="26">
        <v>3</v>
      </c>
      <c r="N42" s="21" t="s">
        <v>32</v>
      </c>
      <c r="O42" s="21" t="s">
        <v>87</v>
      </c>
      <c r="P42" s="21" t="s">
        <v>33</v>
      </c>
      <c r="Q42" s="20" t="s">
        <v>24</v>
      </c>
      <c r="S42" s="26">
        <v>4</v>
      </c>
      <c r="T42" s="21" t="s">
        <v>32</v>
      </c>
      <c r="U42" s="21" t="s">
        <v>87</v>
      </c>
      <c r="V42" s="21" t="s">
        <v>33</v>
      </c>
      <c r="W42" s="20" t="s">
        <v>24</v>
      </c>
      <c r="Y42" s="35" t="s">
        <v>42</v>
      </c>
      <c r="Z42" s="35">
        <f>SUM(Z39:Z41)</f>
        <v>15</v>
      </c>
      <c r="AA42" s="35">
        <f>SUM(AA39:AA41)</f>
        <v>15</v>
      </c>
      <c r="AB42" s="35">
        <f>SUM(AB39:AB41)</f>
        <v>15</v>
      </c>
      <c r="AC42" s="35">
        <f>SUM(AC39:AC41)</f>
        <v>15</v>
      </c>
    </row>
    <row r="43" spans="1:29" ht="79.95" customHeight="1" x14ac:dyDescent="0.5">
      <c r="A43" s="16">
        <v>1</v>
      </c>
      <c r="B43" s="17" t="s">
        <v>21</v>
      </c>
      <c r="C43" s="17" t="s">
        <v>22</v>
      </c>
      <c r="D43" s="17" t="s">
        <v>23</v>
      </c>
      <c r="E43" s="16" t="s">
        <v>24</v>
      </c>
      <c r="G43" s="16">
        <v>2</v>
      </c>
      <c r="H43" s="17" t="s">
        <v>21</v>
      </c>
      <c r="I43" s="17" t="s">
        <v>22</v>
      </c>
      <c r="J43" s="17" t="s">
        <v>23</v>
      </c>
      <c r="K43" s="16" t="s">
        <v>24</v>
      </c>
      <c r="M43" s="16">
        <v>3</v>
      </c>
      <c r="N43" s="17" t="s">
        <v>21</v>
      </c>
      <c r="O43" s="17" t="s">
        <v>96</v>
      </c>
      <c r="P43" s="17" t="s">
        <v>23</v>
      </c>
      <c r="Q43" s="16" t="s">
        <v>34</v>
      </c>
      <c r="S43" s="16">
        <v>4</v>
      </c>
      <c r="T43" s="17" t="s">
        <v>21</v>
      </c>
      <c r="U43" s="17" t="s">
        <v>22</v>
      </c>
      <c r="V43" s="17" t="s">
        <v>23</v>
      </c>
      <c r="W43" s="16" t="s">
        <v>24</v>
      </c>
      <c r="Y43" s="36" t="s">
        <v>51</v>
      </c>
      <c r="Z43" s="54">
        <f t="shared" ref="Z43:AC45" si="2">Z39/$Z$8*100</f>
        <v>86.666666666666671</v>
      </c>
      <c r="AA43" s="54">
        <f t="shared" si="2"/>
        <v>73.333333333333329</v>
      </c>
      <c r="AB43" s="54">
        <f t="shared" si="2"/>
        <v>73.333333333333329</v>
      </c>
      <c r="AC43" s="54">
        <f t="shared" si="2"/>
        <v>73.333333333333329</v>
      </c>
    </row>
    <row r="44" spans="1:29" ht="79.95" customHeight="1" x14ac:dyDescent="0.5">
      <c r="A44" s="26">
        <v>1</v>
      </c>
      <c r="B44" s="21" t="s">
        <v>25</v>
      </c>
      <c r="C44" s="21" t="s">
        <v>93</v>
      </c>
      <c r="D44" s="21" t="s">
        <v>26</v>
      </c>
      <c r="E44" s="20" t="s">
        <v>24</v>
      </c>
      <c r="G44" s="26">
        <v>2</v>
      </c>
      <c r="H44" s="21" t="s">
        <v>25</v>
      </c>
      <c r="I44" s="21" t="s">
        <v>95</v>
      </c>
      <c r="J44" s="21" t="s">
        <v>26</v>
      </c>
      <c r="K44" s="20" t="s">
        <v>24</v>
      </c>
      <c r="M44" s="26">
        <v>3</v>
      </c>
      <c r="N44" s="21" t="s">
        <v>25</v>
      </c>
      <c r="O44" s="21" t="s">
        <v>97</v>
      </c>
      <c r="P44" s="21" t="s">
        <v>26</v>
      </c>
      <c r="Q44" s="20" t="s">
        <v>24</v>
      </c>
      <c r="S44" s="7">
        <v>4</v>
      </c>
      <c r="T44" s="21" t="s">
        <v>25</v>
      </c>
      <c r="U44" s="21" t="s">
        <v>95</v>
      </c>
      <c r="V44" s="21" t="s">
        <v>26</v>
      </c>
      <c r="W44" s="20" t="s">
        <v>24</v>
      </c>
      <c r="Y44" s="38" t="s">
        <v>52</v>
      </c>
      <c r="Z44" s="55">
        <f t="shared" si="2"/>
        <v>13.333333333333334</v>
      </c>
      <c r="AA44" s="55">
        <f t="shared" si="2"/>
        <v>0</v>
      </c>
      <c r="AB44" s="55">
        <f t="shared" si="2"/>
        <v>6.666666666666667</v>
      </c>
      <c r="AC44" s="55">
        <f t="shared" si="2"/>
        <v>0</v>
      </c>
    </row>
    <row r="45" spans="1:29" ht="79.95" customHeight="1" x14ac:dyDescent="0.5">
      <c r="A45" s="26">
        <v>1</v>
      </c>
      <c r="B45" s="21" t="s">
        <v>27</v>
      </c>
      <c r="C45" s="21" t="s">
        <v>37</v>
      </c>
      <c r="D45" s="21" t="s">
        <v>28</v>
      </c>
      <c r="E45" s="20" t="s">
        <v>24</v>
      </c>
      <c r="G45" s="26">
        <v>2</v>
      </c>
      <c r="H45" s="21" t="s">
        <v>27</v>
      </c>
      <c r="I45" s="21" t="s">
        <v>37</v>
      </c>
      <c r="J45" s="21" t="s">
        <v>28</v>
      </c>
      <c r="K45" s="20" t="s">
        <v>24</v>
      </c>
      <c r="M45" s="26">
        <v>3</v>
      </c>
      <c r="N45" s="21" t="s">
        <v>27</v>
      </c>
      <c r="O45" s="21" t="s">
        <v>37</v>
      </c>
      <c r="P45" s="21" t="s">
        <v>28</v>
      </c>
      <c r="Q45" s="20" t="s">
        <v>24</v>
      </c>
      <c r="S45" s="7">
        <v>4</v>
      </c>
      <c r="T45" s="21" t="s">
        <v>27</v>
      </c>
      <c r="U45" s="21" t="s">
        <v>37</v>
      </c>
      <c r="V45" s="21" t="s">
        <v>28</v>
      </c>
      <c r="W45" s="20" t="s">
        <v>24</v>
      </c>
      <c r="Y45" s="40" t="s">
        <v>53</v>
      </c>
      <c r="Z45" s="56">
        <f t="shared" si="2"/>
        <v>0</v>
      </c>
      <c r="AA45" s="56">
        <f t="shared" si="2"/>
        <v>26.666666666666668</v>
      </c>
      <c r="AB45" s="56">
        <f t="shared" si="2"/>
        <v>20</v>
      </c>
      <c r="AC45" s="56">
        <f t="shared" si="2"/>
        <v>26.666666666666668</v>
      </c>
    </row>
    <row r="46" spans="1:29" ht="79.95" customHeight="1" x14ac:dyDescent="0.5">
      <c r="A46" s="26">
        <v>1</v>
      </c>
      <c r="B46" s="21" t="s">
        <v>30</v>
      </c>
      <c r="C46" s="21" t="s">
        <v>35</v>
      </c>
      <c r="D46" s="21" t="s">
        <v>31</v>
      </c>
      <c r="E46" s="20" t="s">
        <v>24</v>
      </c>
      <c r="G46" s="26">
        <v>2</v>
      </c>
      <c r="H46" s="21" t="s">
        <v>30</v>
      </c>
      <c r="I46" s="21" t="s">
        <v>31</v>
      </c>
      <c r="J46" s="21" t="s">
        <v>31</v>
      </c>
      <c r="K46" s="20" t="s">
        <v>34</v>
      </c>
      <c r="M46" s="26">
        <v>3</v>
      </c>
      <c r="N46" s="21" t="s">
        <v>30</v>
      </c>
      <c r="O46" s="21" t="s">
        <v>35</v>
      </c>
      <c r="P46" s="21" t="s">
        <v>31</v>
      </c>
      <c r="Q46" s="20" t="s">
        <v>24</v>
      </c>
      <c r="S46" s="7">
        <v>4</v>
      </c>
      <c r="T46" s="21" t="s">
        <v>30</v>
      </c>
      <c r="U46" s="21" t="s">
        <v>31</v>
      </c>
      <c r="V46" s="21" t="s">
        <v>31</v>
      </c>
      <c r="W46" s="20" t="s">
        <v>34</v>
      </c>
    </row>
    <row r="47" spans="1:29" ht="79.95" customHeight="1" x14ac:dyDescent="0.5">
      <c r="A47" s="26">
        <v>1</v>
      </c>
      <c r="B47" s="21" t="s">
        <v>32</v>
      </c>
      <c r="C47" s="21" t="s">
        <v>94</v>
      </c>
      <c r="D47" s="21" t="s">
        <v>33</v>
      </c>
      <c r="E47" s="20" t="s">
        <v>29</v>
      </c>
      <c r="G47" s="26">
        <v>2</v>
      </c>
      <c r="H47" s="21" t="s">
        <v>32</v>
      </c>
      <c r="I47" s="21" t="s">
        <v>87</v>
      </c>
      <c r="J47" s="21" t="s">
        <v>33</v>
      </c>
      <c r="K47" s="20" t="s">
        <v>24</v>
      </c>
      <c r="M47" s="26">
        <v>3</v>
      </c>
      <c r="N47" s="21" t="s">
        <v>32</v>
      </c>
      <c r="O47" s="21" t="s">
        <v>87</v>
      </c>
      <c r="P47" s="21" t="s">
        <v>33</v>
      </c>
      <c r="Q47" s="20" t="s">
        <v>24</v>
      </c>
      <c r="S47" s="7">
        <v>4</v>
      </c>
      <c r="T47" s="21" t="s">
        <v>32</v>
      </c>
      <c r="U47" s="21" t="s">
        <v>87</v>
      </c>
      <c r="V47" s="21" t="s">
        <v>33</v>
      </c>
      <c r="W47" s="20" t="s">
        <v>24</v>
      </c>
    </row>
    <row r="48" spans="1:29" ht="79.95" customHeight="1" x14ac:dyDescent="0.5">
      <c r="A48" s="16">
        <v>1</v>
      </c>
      <c r="B48" s="17" t="s">
        <v>21</v>
      </c>
      <c r="C48" s="17" t="s">
        <v>22</v>
      </c>
      <c r="D48" s="17" t="s">
        <v>23</v>
      </c>
      <c r="E48" s="16" t="s">
        <v>24</v>
      </c>
      <c r="G48" s="16">
        <v>2</v>
      </c>
      <c r="H48" s="17" t="s">
        <v>21</v>
      </c>
      <c r="I48" s="17" t="s">
        <v>22</v>
      </c>
      <c r="J48" s="17" t="s">
        <v>23</v>
      </c>
      <c r="K48" s="16" t="s">
        <v>24</v>
      </c>
      <c r="M48" s="16">
        <v>3</v>
      </c>
      <c r="N48" s="17" t="s">
        <v>21</v>
      </c>
      <c r="O48" s="17" t="s">
        <v>96</v>
      </c>
      <c r="P48" s="17" t="s">
        <v>23</v>
      </c>
      <c r="Q48" s="16" t="s">
        <v>34</v>
      </c>
      <c r="S48" s="16">
        <v>4</v>
      </c>
      <c r="T48" s="17" t="s">
        <v>21</v>
      </c>
      <c r="U48" s="17" t="s">
        <v>22</v>
      </c>
      <c r="V48" s="17" t="s">
        <v>23</v>
      </c>
      <c r="W48" s="16" t="s">
        <v>24</v>
      </c>
    </row>
    <row r="49" spans="1:23" ht="79.95" customHeight="1" x14ac:dyDescent="0.5">
      <c r="A49" s="7">
        <v>1</v>
      </c>
      <c r="B49" s="21" t="s">
        <v>25</v>
      </c>
      <c r="C49" s="21" t="s">
        <v>93</v>
      </c>
      <c r="D49" s="21" t="s">
        <v>26</v>
      </c>
      <c r="E49" s="20" t="s">
        <v>29</v>
      </c>
      <c r="G49" s="7">
        <v>2</v>
      </c>
      <c r="H49" s="21" t="s">
        <v>25</v>
      </c>
      <c r="I49" s="21" t="s">
        <v>95</v>
      </c>
      <c r="J49" s="21" t="s">
        <v>26</v>
      </c>
      <c r="K49" s="20" t="s">
        <v>24</v>
      </c>
      <c r="M49" s="26">
        <v>3</v>
      </c>
      <c r="N49" s="21" t="s">
        <v>25</v>
      </c>
      <c r="O49" s="21" t="s">
        <v>97</v>
      </c>
      <c r="P49" s="21" t="s">
        <v>26</v>
      </c>
      <c r="Q49" s="20" t="s">
        <v>29</v>
      </c>
      <c r="S49" s="26">
        <v>4</v>
      </c>
      <c r="T49" s="21" t="s">
        <v>25</v>
      </c>
      <c r="U49" s="21" t="s">
        <v>95</v>
      </c>
      <c r="V49" s="21" t="s">
        <v>26</v>
      </c>
      <c r="W49" s="20" t="s">
        <v>24</v>
      </c>
    </row>
    <row r="50" spans="1:23" ht="79.95" customHeight="1" x14ac:dyDescent="0.5">
      <c r="A50" s="7">
        <v>1</v>
      </c>
      <c r="B50" s="21" t="s">
        <v>27</v>
      </c>
      <c r="C50" s="21" t="s">
        <v>37</v>
      </c>
      <c r="D50" s="21" t="s">
        <v>28</v>
      </c>
      <c r="E50" s="20" t="s">
        <v>24</v>
      </c>
      <c r="G50" s="7">
        <v>2</v>
      </c>
      <c r="H50" s="21" t="s">
        <v>27</v>
      </c>
      <c r="I50" s="21" t="s">
        <v>37</v>
      </c>
      <c r="J50" s="21" t="s">
        <v>28</v>
      </c>
      <c r="K50" s="20" t="s">
        <v>24</v>
      </c>
      <c r="M50" s="26">
        <v>3</v>
      </c>
      <c r="N50" s="21" t="s">
        <v>27</v>
      </c>
      <c r="O50" s="21" t="s">
        <v>37</v>
      </c>
      <c r="P50" s="21" t="s">
        <v>28</v>
      </c>
      <c r="Q50" s="20" t="s">
        <v>24</v>
      </c>
      <c r="S50" s="26">
        <v>4</v>
      </c>
      <c r="T50" s="21" t="s">
        <v>27</v>
      </c>
      <c r="U50" s="21" t="s">
        <v>37</v>
      </c>
      <c r="V50" s="21" t="s">
        <v>28</v>
      </c>
      <c r="W50" s="20" t="s">
        <v>24</v>
      </c>
    </row>
    <row r="51" spans="1:23" ht="79.95" customHeight="1" x14ac:dyDescent="0.5">
      <c r="A51" s="7">
        <v>1</v>
      </c>
      <c r="B51" s="21" t="s">
        <v>30</v>
      </c>
      <c r="C51" s="21" t="s">
        <v>35</v>
      </c>
      <c r="D51" s="21" t="s">
        <v>31</v>
      </c>
      <c r="E51" s="20" t="s">
        <v>24</v>
      </c>
      <c r="G51" s="7">
        <v>2</v>
      </c>
      <c r="H51" s="21" t="s">
        <v>30</v>
      </c>
      <c r="I51" s="21" t="s">
        <v>31</v>
      </c>
      <c r="J51" s="21" t="s">
        <v>31</v>
      </c>
      <c r="K51" s="20" t="s">
        <v>34</v>
      </c>
      <c r="M51" s="26">
        <v>3</v>
      </c>
      <c r="N51" s="21" t="s">
        <v>30</v>
      </c>
      <c r="O51" s="21" t="s">
        <v>35</v>
      </c>
      <c r="P51" s="21" t="s">
        <v>31</v>
      </c>
      <c r="Q51" s="20" t="s">
        <v>24</v>
      </c>
      <c r="S51" s="26">
        <v>4</v>
      </c>
      <c r="T51" s="21" t="s">
        <v>30</v>
      </c>
      <c r="U51" s="21" t="s">
        <v>31</v>
      </c>
      <c r="V51" s="21" t="s">
        <v>31</v>
      </c>
      <c r="W51" s="20" t="s">
        <v>34</v>
      </c>
    </row>
    <row r="52" spans="1:23" ht="79.95" customHeight="1" x14ac:dyDescent="0.5">
      <c r="A52" s="7">
        <v>1</v>
      </c>
      <c r="B52" s="21" t="s">
        <v>32</v>
      </c>
      <c r="C52" s="21" t="s">
        <v>94</v>
      </c>
      <c r="D52" s="21" t="s">
        <v>33</v>
      </c>
      <c r="E52" s="20" t="s">
        <v>24</v>
      </c>
      <c r="G52" s="7">
        <v>2</v>
      </c>
      <c r="H52" s="21" t="s">
        <v>32</v>
      </c>
      <c r="I52" s="21" t="s">
        <v>87</v>
      </c>
      <c r="J52" s="21" t="s">
        <v>33</v>
      </c>
      <c r="K52" s="20" t="s">
        <v>34</v>
      </c>
      <c r="M52" s="26">
        <v>3</v>
      </c>
      <c r="N52" s="21" t="s">
        <v>32</v>
      </c>
      <c r="O52" s="21" t="s">
        <v>87</v>
      </c>
      <c r="P52" s="21" t="s">
        <v>33</v>
      </c>
      <c r="Q52" s="20" t="s">
        <v>34</v>
      </c>
      <c r="S52" s="26">
        <v>4</v>
      </c>
      <c r="T52" s="21" t="s">
        <v>32</v>
      </c>
      <c r="U52" s="21" t="s">
        <v>87</v>
      </c>
      <c r="V52" s="21" t="s">
        <v>33</v>
      </c>
      <c r="W52" s="20" t="s">
        <v>34</v>
      </c>
    </row>
    <row r="53" spans="1:23" ht="79.95" customHeight="1" x14ac:dyDescent="0.5"/>
    <row r="54" spans="1:23" ht="79.95" customHeight="1" x14ac:dyDescent="0.5"/>
    <row r="55" spans="1:23" ht="79.95" customHeight="1" x14ac:dyDescent="0.5"/>
    <row r="56" spans="1:23" ht="79.95" customHeight="1" x14ac:dyDescent="0.5"/>
    <row r="57" spans="1:23" ht="79.95" customHeight="1" x14ac:dyDescent="0.5"/>
    <row r="58" spans="1:23" ht="79.95" customHeight="1" x14ac:dyDescent="0.5"/>
    <row r="59" spans="1:23" ht="79.95" customHeight="1" x14ac:dyDescent="0.5"/>
    <row r="60" spans="1:23" ht="79.95" customHeight="1" x14ac:dyDescent="0.5"/>
    <row r="61" spans="1:23" ht="79.95" customHeight="1" x14ac:dyDescent="0.5"/>
  </sheetData>
  <mergeCells count="7">
    <mergeCell ref="B2:W2"/>
    <mergeCell ref="Z3:AC3"/>
    <mergeCell ref="Z20:AC20"/>
    <mergeCell ref="Z37:AC37"/>
    <mergeCell ref="Y3:Y4"/>
    <mergeCell ref="Y20:Y21"/>
    <mergeCell ref="Y37:Y38"/>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A9C7-9B91-4AF4-BF70-253D7C4F7C51}">
  <dimension ref="A1:I15"/>
  <sheetViews>
    <sheetView zoomScale="88" workbookViewId="0">
      <selection activeCell="I22" sqref="I22"/>
    </sheetView>
  </sheetViews>
  <sheetFormatPr defaultRowHeight="14.4" x14ac:dyDescent="0.3"/>
  <cols>
    <col min="1" max="1" width="18.6640625" customWidth="1"/>
    <col min="2" max="2" width="17.77734375" customWidth="1"/>
    <col min="3" max="3" width="16.88671875" customWidth="1"/>
    <col min="4" max="4" width="14.33203125" customWidth="1"/>
    <col min="7" max="7" width="18.21875" customWidth="1"/>
    <col min="8" max="8" width="15" customWidth="1"/>
    <col min="9" max="9" width="16.21875" customWidth="1"/>
  </cols>
  <sheetData>
    <row r="1" spans="1:9" ht="27.6" x14ac:dyDescent="0.3">
      <c r="A1" s="42" t="s">
        <v>63</v>
      </c>
      <c r="B1" s="42" t="s">
        <v>54</v>
      </c>
      <c r="C1" s="42" t="s">
        <v>62</v>
      </c>
      <c r="D1" s="42" t="s">
        <v>61</v>
      </c>
      <c r="E1" s="42" t="s">
        <v>60</v>
      </c>
      <c r="F1" s="53" t="s">
        <v>42</v>
      </c>
      <c r="G1" s="52" t="s">
        <v>51</v>
      </c>
      <c r="H1" s="52" t="s">
        <v>52</v>
      </c>
      <c r="I1" s="52" t="s">
        <v>53</v>
      </c>
    </row>
    <row r="2" spans="1:9" x14ac:dyDescent="0.3">
      <c r="A2" s="43" t="s">
        <v>64</v>
      </c>
      <c r="B2" s="43" t="s">
        <v>59</v>
      </c>
      <c r="C2" s="44">
        <v>11</v>
      </c>
      <c r="D2" s="44">
        <v>4</v>
      </c>
      <c r="E2" s="44">
        <v>0</v>
      </c>
      <c r="F2" s="44">
        <f t="shared" ref="F2:F13" si="0">SUM(C2:E2)</f>
        <v>15</v>
      </c>
      <c r="G2" s="45">
        <f>C2/$F2*100</f>
        <v>73.333333333333329</v>
      </c>
      <c r="H2" s="45">
        <f t="shared" ref="H2:H13" si="1">D2/$F2*100</f>
        <v>26.666666666666668</v>
      </c>
      <c r="I2" s="45">
        <f t="shared" ref="I2:I13" si="2">E2/$F2*100</f>
        <v>0</v>
      </c>
    </row>
    <row r="3" spans="1:9" x14ac:dyDescent="0.3">
      <c r="A3" s="43" t="s">
        <v>64</v>
      </c>
      <c r="B3" s="43" t="s">
        <v>58</v>
      </c>
      <c r="C3" s="44">
        <v>4</v>
      </c>
      <c r="D3" s="44">
        <v>5</v>
      </c>
      <c r="E3" s="44">
        <v>6</v>
      </c>
      <c r="F3" s="44">
        <f t="shared" si="0"/>
        <v>15</v>
      </c>
      <c r="G3" s="45">
        <f t="shared" ref="G3:G13" si="3">C3/$F3*100</f>
        <v>26.666666666666668</v>
      </c>
      <c r="H3" s="45">
        <f t="shared" si="1"/>
        <v>33.333333333333329</v>
      </c>
      <c r="I3" s="45">
        <f t="shared" si="2"/>
        <v>40</v>
      </c>
    </row>
    <row r="4" spans="1:9" x14ac:dyDescent="0.3">
      <c r="A4" s="43" t="s">
        <v>64</v>
      </c>
      <c r="B4" s="43" t="s">
        <v>57</v>
      </c>
      <c r="C4" s="44">
        <v>7</v>
      </c>
      <c r="D4" s="44">
        <v>4</v>
      </c>
      <c r="E4" s="44">
        <v>4</v>
      </c>
      <c r="F4" s="44">
        <f t="shared" si="0"/>
        <v>15</v>
      </c>
      <c r="G4" s="45">
        <f t="shared" si="3"/>
        <v>46.666666666666664</v>
      </c>
      <c r="H4" s="45">
        <f t="shared" si="1"/>
        <v>26.666666666666668</v>
      </c>
      <c r="I4" s="45">
        <f t="shared" si="2"/>
        <v>26.666666666666668</v>
      </c>
    </row>
    <row r="5" spans="1:9" x14ac:dyDescent="0.3">
      <c r="A5" s="43" t="s">
        <v>64</v>
      </c>
      <c r="B5" s="43" t="s">
        <v>56</v>
      </c>
      <c r="C5" s="44">
        <v>3</v>
      </c>
      <c r="D5" s="44">
        <v>4</v>
      </c>
      <c r="E5" s="44">
        <v>8</v>
      </c>
      <c r="F5" s="44">
        <f t="shared" si="0"/>
        <v>15</v>
      </c>
      <c r="G5" s="45">
        <f t="shared" si="3"/>
        <v>20</v>
      </c>
      <c r="H5" s="45">
        <f t="shared" si="1"/>
        <v>26.666666666666668</v>
      </c>
      <c r="I5" s="45">
        <f t="shared" si="2"/>
        <v>53.333333333333336</v>
      </c>
    </row>
    <row r="6" spans="1:9" x14ac:dyDescent="0.3">
      <c r="A6" s="46" t="s">
        <v>65</v>
      </c>
      <c r="B6" s="46" t="s">
        <v>59</v>
      </c>
      <c r="C6" s="47">
        <v>3</v>
      </c>
      <c r="D6" s="47">
        <v>8</v>
      </c>
      <c r="E6" s="47">
        <v>4</v>
      </c>
      <c r="F6" s="47">
        <f t="shared" si="0"/>
        <v>15</v>
      </c>
      <c r="G6" s="48">
        <f t="shared" si="3"/>
        <v>20</v>
      </c>
      <c r="H6" s="48">
        <f t="shared" si="1"/>
        <v>53.333333333333336</v>
      </c>
      <c r="I6" s="48">
        <f t="shared" si="2"/>
        <v>26.666666666666668</v>
      </c>
    </row>
    <row r="7" spans="1:9" x14ac:dyDescent="0.3">
      <c r="A7" s="46" t="s">
        <v>65</v>
      </c>
      <c r="B7" s="46" t="s">
        <v>58</v>
      </c>
      <c r="C7" s="47">
        <v>12</v>
      </c>
      <c r="D7" s="47">
        <v>0</v>
      </c>
      <c r="E7" s="47">
        <v>3</v>
      </c>
      <c r="F7" s="47">
        <f t="shared" si="0"/>
        <v>15</v>
      </c>
      <c r="G7" s="48">
        <f t="shared" si="3"/>
        <v>80</v>
      </c>
      <c r="H7" s="48">
        <f t="shared" si="1"/>
        <v>0</v>
      </c>
      <c r="I7" s="48">
        <f t="shared" si="2"/>
        <v>20</v>
      </c>
    </row>
    <row r="8" spans="1:9" x14ac:dyDescent="0.3">
      <c r="A8" s="46" t="s">
        <v>65</v>
      </c>
      <c r="B8" s="46" t="s">
        <v>57</v>
      </c>
      <c r="C8" s="47">
        <v>3</v>
      </c>
      <c r="D8" s="47">
        <v>3</v>
      </c>
      <c r="E8" s="47">
        <v>9</v>
      </c>
      <c r="F8" s="47">
        <f t="shared" si="0"/>
        <v>15</v>
      </c>
      <c r="G8" s="48">
        <f t="shared" si="3"/>
        <v>20</v>
      </c>
      <c r="H8" s="48">
        <f t="shared" si="1"/>
        <v>20</v>
      </c>
      <c r="I8" s="48">
        <f t="shared" si="2"/>
        <v>60</v>
      </c>
    </row>
    <row r="9" spans="1:9" x14ac:dyDescent="0.3">
      <c r="A9" s="46" t="s">
        <v>65</v>
      </c>
      <c r="B9" s="46" t="s">
        <v>56</v>
      </c>
      <c r="C9" s="47">
        <v>8</v>
      </c>
      <c r="D9" s="47">
        <v>6</v>
      </c>
      <c r="E9" s="47">
        <v>1</v>
      </c>
      <c r="F9" s="47">
        <f t="shared" si="0"/>
        <v>15</v>
      </c>
      <c r="G9" s="48">
        <f t="shared" si="3"/>
        <v>53.333333333333336</v>
      </c>
      <c r="H9" s="48">
        <f t="shared" si="1"/>
        <v>40</v>
      </c>
      <c r="I9" s="48">
        <f t="shared" si="2"/>
        <v>6.666666666666667</v>
      </c>
    </row>
    <row r="10" spans="1:9" x14ac:dyDescent="0.3">
      <c r="A10" s="49" t="s">
        <v>66</v>
      </c>
      <c r="B10" s="49" t="s">
        <v>59</v>
      </c>
      <c r="C10" s="50">
        <v>9</v>
      </c>
      <c r="D10" s="50">
        <v>4</v>
      </c>
      <c r="E10" s="50">
        <v>2</v>
      </c>
      <c r="F10" s="50">
        <f t="shared" si="0"/>
        <v>15</v>
      </c>
      <c r="G10" s="51">
        <f t="shared" si="3"/>
        <v>60</v>
      </c>
      <c r="H10" s="51">
        <f t="shared" si="1"/>
        <v>26.666666666666668</v>
      </c>
      <c r="I10" s="51">
        <f t="shared" si="2"/>
        <v>13.333333333333334</v>
      </c>
    </row>
    <row r="11" spans="1:9" x14ac:dyDescent="0.3">
      <c r="A11" s="49" t="s">
        <v>66</v>
      </c>
      <c r="B11" s="49" t="s">
        <v>58</v>
      </c>
      <c r="C11" s="50">
        <v>12</v>
      </c>
      <c r="D11" s="50">
        <v>0</v>
      </c>
      <c r="E11" s="50">
        <v>3</v>
      </c>
      <c r="F11" s="50">
        <f t="shared" si="0"/>
        <v>15</v>
      </c>
      <c r="G11" s="51">
        <f t="shared" si="3"/>
        <v>80</v>
      </c>
      <c r="H11" s="51">
        <f t="shared" si="1"/>
        <v>0</v>
      </c>
      <c r="I11" s="51">
        <f t="shared" si="2"/>
        <v>20</v>
      </c>
    </row>
    <row r="12" spans="1:9" x14ac:dyDescent="0.3">
      <c r="A12" s="49" t="s">
        <v>66</v>
      </c>
      <c r="B12" s="49" t="s">
        <v>57</v>
      </c>
      <c r="C12" s="50">
        <v>10</v>
      </c>
      <c r="D12" s="50">
        <v>2</v>
      </c>
      <c r="E12" s="50">
        <v>3</v>
      </c>
      <c r="F12" s="50">
        <f t="shared" si="0"/>
        <v>15</v>
      </c>
      <c r="G12" s="51">
        <f t="shared" si="3"/>
        <v>66.666666666666657</v>
      </c>
      <c r="H12" s="51">
        <f t="shared" si="1"/>
        <v>13.333333333333334</v>
      </c>
      <c r="I12" s="51">
        <f t="shared" si="2"/>
        <v>20</v>
      </c>
    </row>
    <row r="13" spans="1:9" x14ac:dyDescent="0.3">
      <c r="A13" s="49" t="s">
        <v>66</v>
      </c>
      <c r="B13" s="49" t="s">
        <v>56</v>
      </c>
      <c r="C13" s="50">
        <v>11</v>
      </c>
      <c r="D13" s="50">
        <v>0</v>
      </c>
      <c r="E13" s="50">
        <v>4</v>
      </c>
      <c r="F13" s="50">
        <f t="shared" si="0"/>
        <v>15</v>
      </c>
      <c r="G13" s="51">
        <f t="shared" si="3"/>
        <v>73.333333333333329</v>
      </c>
      <c r="H13" s="51">
        <f t="shared" si="1"/>
        <v>0</v>
      </c>
      <c r="I13" s="51">
        <f t="shared" si="2"/>
        <v>26.666666666666668</v>
      </c>
    </row>
    <row r="15" spans="1:9" x14ac:dyDescent="0.3">
      <c r="A15" s="79" t="s">
        <v>67</v>
      </c>
      <c r="B15" s="79"/>
      <c r="C15" s="79"/>
      <c r="D15" s="79"/>
      <c r="E15" s="79"/>
      <c r="F15" s="79"/>
      <c r="G15" s="79"/>
      <c r="H15" s="79"/>
      <c r="I15" s="79"/>
    </row>
  </sheetData>
  <mergeCells count="1">
    <mergeCell ref="A15:I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Instruksi</vt:lpstr>
      <vt:lpstr>Evaluator_1_Riva</vt:lpstr>
      <vt:lpstr>Evaluator_2_Fatimah</vt:lpstr>
      <vt:lpstr>Evaluator_3_Diyan</vt:lpstr>
      <vt:lpstr>MODEL</vt:lpstr>
      <vt:lpstr>WIN RATE</vt:lpstr>
      <vt:lpstr>WIN RATE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mang nep</cp:lastModifiedBy>
  <dcterms:created xsi:type="dcterms:W3CDTF">2026-05-26T14:11:32Z</dcterms:created>
  <dcterms:modified xsi:type="dcterms:W3CDTF">2026-06-11T08:44:59Z</dcterms:modified>
</cp:coreProperties>
</file>